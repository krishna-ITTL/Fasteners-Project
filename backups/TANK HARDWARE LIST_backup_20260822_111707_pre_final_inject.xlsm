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TTL_PROJECTS\Fasteners-Project\"/>
    </mc:Choice>
  </mc:AlternateContent>
  <xr:revisionPtr revIDLastSave="0" documentId="13_ncr:1_{9B9C0E7A-D75C-4048-9E11-875959AEFF1F}" xr6:coauthVersionLast="47" xr6:coauthVersionMax="47" xr10:uidLastSave="{00000000-0000-0000-0000-000000000000}"/>
  <bookViews>
    <workbookView xWindow="-120" yWindow="-120" windowWidth="24240" windowHeight="13740" firstSheet="1" activeTab="3" xr2:uid="{00000000-000D-0000-FFFF-FFFF00000000}"/>
  </bookViews>
  <sheets>
    <sheet name="STD.DATA" sheetId="1" state="hidden" r:id="rId1"/>
    <sheet name="TANK HARDWARE" sheetId="2" r:id="rId2"/>
    <sheet name="PRINT SHEET" sheetId="3" r:id="rId3"/>
    <sheet name="FINAL SHEET" sheetId="4" r:id="rId4"/>
    <sheet name="PRINT QTY" sheetId="5" state="hidden" r:id="rId5"/>
    <sheet name="NON.STD.DATA" sheetId="6" state="hidden" r:id="rId6"/>
  </sheets>
  <definedNames>
    <definedName name="_xlnm._FilterDatabase" localSheetId="4" hidden="1">'PRINT QTY'!$B$11:$B$338</definedName>
    <definedName name="_xlnm._FilterDatabase" localSheetId="2" hidden="1">'PRINT SHEET'!$B$11:$B$244</definedName>
    <definedName name="_xleta.IF" hidden="1" xlm="1">#NAME?</definedName>
    <definedName name="_xleta.N" hidden="1" xlm="1">#NAME?</definedName>
    <definedName name="_xleta.NA" hidden="1" xlm="1">#NAME?</definedName>
    <definedName name="_xleta.ROUNDUP" hidden="1" xlm="1">#NAME?</definedName>
    <definedName name="_xleta.SHEET" hidden="1" xlm="1">#NAME?</definedName>
    <definedName name="_xleta.SUM" hidden="1" xlm="1">#NAME?</definedName>
    <definedName name="_xlpm.a" hidden="1" xlm="1">#NAME?</definedName>
    <definedName name="_xlpm.dpos" hidden="1" xlm="1">#NAME?</definedName>
    <definedName name="_xlpm.ln" hidden="1" xlm="1">#NAME?</definedName>
    <definedName name="_xlpm.spos" hidden="1" xlm="1">#NAME?</definedName>
    <definedName name="_xlpm.src" hidden="1" xlm="1">#NAME?</definedName>
    <definedName name="_xlpm.sz" hidden="1" xlm="1">#NAME?</definedName>
    <definedName name="_xlpm.u" hidden="1" xlm="1">#NAME?</definedName>
    <definedName name="_xlpm.xpos" hidden="1" xlm="1">#NAME?</definedName>
    <definedName name="_xlnm.Print_Area" localSheetId="3">'FINAL SHEET'!$D$2:$J$131</definedName>
    <definedName name="_xlnm.Print_Area" localSheetId="4">'PRINT QTY'!$C$5:$L$343</definedName>
    <definedName name="_xlnm.Print_Area" localSheetId="2">'PRINT SHEET'!$D$2:$L$245</definedName>
    <definedName name="_xlnm.Print_Area" localSheetId="0">STD.DATA!$A$1:$J$227</definedName>
    <definedName name="_xlnm.Print_Titles" localSheetId="3">'FINAL SHEET'!$2:$10</definedName>
    <definedName name="_xlnm.Print_Titles" localSheetId="4">'PRINT QTY'!$5:$9</definedName>
    <definedName name="_xlnm.Print_Titles" localSheetId="2">'PRINT SHEET'!$2:$8</definedName>
    <definedName name="Z_7F5357ED_AFB7_4178_9E73_1F52DC0378B0_.wvu.FilterData" localSheetId="3" hidden="1">'FINAL SHEET'!$B$10:$B$128</definedName>
    <definedName name="Z_7F5357ED_AFB7_4178_9E73_1F52DC0378B0_.wvu.FilterData" localSheetId="2" hidden="1">'PRINT SHEET'!$B$8:$B$242</definedName>
    <definedName name="Z_7F5357ED_AFB7_4178_9E73_1F52DC0378B0_.wvu.PrintArea" localSheetId="3" hidden="1">'FINAL SHEET'!$D$2:$J$131</definedName>
    <definedName name="Z_7F5357ED_AFB7_4178_9E73_1F52DC0378B0_.wvu.PrintArea" localSheetId="2" hidden="1">'PRINT SHEET'!$D$2:$L$245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4" i="4" l="1"/>
  <c r="G103" i="4"/>
  <c r="G102" i="4"/>
  <c r="G101" i="4"/>
  <c r="G100" i="4"/>
  <c r="G99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J19" i="4"/>
  <c r="I19" i="4"/>
  <c r="H19" i="4"/>
  <c r="G19" i="4"/>
  <c r="J18" i="4"/>
  <c r="I18" i="4"/>
  <c r="H18" i="4"/>
  <c r="G18" i="4"/>
  <c r="J17" i="4"/>
  <c r="I17" i="4"/>
  <c r="H17" i="4"/>
  <c r="G17" i="4"/>
  <c r="J16" i="4"/>
  <c r="I16" i="4"/>
  <c r="H16" i="4"/>
  <c r="G16" i="4"/>
  <c r="J15" i="4"/>
  <c r="I15" i="4"/>
  <c r="H15" i="4"/>
  <c r="G15" i="4"/>
  <c r="J14" i="4"/>
  <c r="I14" i="4"/>
  <c r="H14" i="4"/>
  <c r="G14" i="4"/>
  <c r="J13" i="4"/>
  <c r="I13" i="4"/>
  <c r="H13" i="4"/>
  <c r="G13" i="4"/>
  <c r="J12" i="4"/>
  <c r="I12" i="4"/>
  <c r="H12" i="4"/>
  <c r="G12" i="4"/>
  <c r="J11" i="4"/>
  <c r="I11" i="4"/>
  <c r="H11" i="4"/>
  <c r="G11" i="4"/>
  <c r="E6" i="4"/>
  <c r="Q18" i="6"/>
  <c r="I18" i="6"/>
  <c r="O18" i="6" s="1"/>
  <c r="Q17" i="6"/>
  <c r="I17" i="6"/>
  <c r="Q16" i="6"/>
  <c r="I16" i="6"/>
  <c r="M16" i="6" s="1"/>
  <c r="Q15" i="6"/>
  <c r="I15" i="6"/>
  <c r="O15" i="6" s="1"/>
  <c r="Q14" i="6"/>
  <c r="I14" i="6"/>
  <c r="Q13" i="6"/>
  <c r="I13" i="6"/>
  <c r="M13" i="6" s="1"/>
  <c r="Q12" i="6"/>
  <c r="I12" i="6"/>
  <c r="Q11" i="6"/>
  <c r="I11" i="6"/>
  <c r="Q10" i="6"/>
  <c r="I10" i="6"/>
  <c r="M10" i="6" s="1"/>
  <c r="F10" i="6"/>
  <c r="Q9" i="6"/>
  <c r="I9" i="6"/>
  <c r="O9" i="6" s="1"/>
  <c r="F9" i="6"/>
  <c r="Q8" i="6"/>
  <c r="I8" i="6"/>
  <c r="P8" i="6" s="1"/>
  <c r="F8" i="6"/>
  <c r="Q7" i="6"/>
  <c r="I7" i="6"/>
  <c r="F7" i="6"/>
  <c r="Q6" i="6"/>
  <c r="I6" i="6"/>
  <c r="M6" i="6" s="1"/>
  <c r="F6" i="6"/>
  <c r="B338" i="5"/>
  <c r="B337" i="5"/>
  <c r="C336" i="5"/>
  <c r="O336" i="5" s="1"/>
  <c r="P336" i="5" s="1"/>
  <c r="C335" i="5"/>
  <c r="O335" i="5" s="1"/>
  <c r="P335" i="5" s="1"/>
  <c r="C334" i="5"/>
  <c r="O334" i="5" s="1"/>
  <c r="P334" i="5" s="1"/>
  <c r="C333" i="5"/>
  <c r="O333" i="5" s="1"/>
  <c r="P333" i="5" s="1"/>
  <c r="C332" i="5"/>
  <c r="O332" i="5" s="1"/>
  <c r="P332" i="5" s="1"/>
  <c r="C331" i="5"/>
  <c r="O331" i="5" s="1"/>
  <c r="P331" i="5" s="1"/>
  <c r="C330" i="5"/>
  <c r="O330" i="5" s="1"/>
  <c r="P330" i="5" s="1"/>
  <c r="C329" i="5"/>
  <c r="O329" i="5" s="1"/>
  <c r="P329" i="5" s="1"/>
  <c r="C328" i="5"/>
  <c r="O328" i="5" s="1"/>
  <c r="P328" i="5" s="1"/>
  <c r="C327" i="5"/>
  <c r="O327" i="5" s="1"/>
  <c r="P327" i="5" s="1"/>
  <c r="C326" i="5"/>
  <c r="O326" i="5" s="1"/>
  <c r="P326" i="5" s="1"/>
  <c r="C325" i="5"/>
  <c r="O325" i="5" s="1"/>
  <c r="P325" i="5" s="1"/>
  <c r="C324" i="5"/>
  <c r="O324" i="5" s="1"/>
  <c r="P324" i="5" s="1"/>
  <c r="C323" i="5"/>
  <c r="O323" i="5" s="1"/>
  <c r="P323" i="5" s="1"/>
  <c r="C322" i="5"/>
  <c r="O322" i="5" s="1"/>
  <c r="P322" i="5" s="1"/>
  <c r="C321" i="5"/>
  <c r="O321" i="5" s="1"/>
  <c r="P321" i="5" s="1"/>
  <c r="C320" i="5"/>
  <c r="O320" i="5" s="1"/>
  <c r="P320" i="5" s="1"/>
  <c r="C319" i="5"/>
  <c r="O319" i="5" s="1"/>
  <c r="P319" i="5" s="1"/>
  <c r="C318" i="5"/>
  <c r="O318" i="5" s="1"/>
  <c r="P318" i="5" s="1"/>
  <c r="C317" i="5"/>
  <c r="O317" i="5" s="1"/>
  <c r="P317" i="5" s="1"/>
  <c r="C316" i="5"/>
  <c r="O316" i="5" s="1"/>
  <c r="P316" i="5" s="1"/>
  <c r="C315" i="5"/>
  <c r="O315" i="5" s="1"/>
  <c r="P315" i="5" s="1"/>
  <c r="C314" i="5"/>
  <c r="O314" i="5" s="1"/>
  <c r="P314" i="5" s="1"/>
  <c r="C313" i="5"/>
  <c r="O313" i="5" s="1"/>
  <c r="P313" i="5" s="1"/>
  <c r="C312" i="5"/>
  <c r="O312" i="5" s="1"/>
  <c r="P312" i="5" s="1"/>
  <c r="C311" i="5"/>
  <c r="O311" i="5" s="1"/>
  <c r="P311" i="5" s="1"/>
  <c r="C310" i="5"/>
  <c r="O310" i="5" s="1"/>
  <c r="P310" i="5" s="1"/>
  <c r="C309" i="5"/>
  <c r="O309" i="5" s="1"/>
  <c r="P309" i="5" s="1"/>
  <c r="C308" i="5"/>
  <c r="O308" i="5" s="1"/>
  <c r="P308" i="5" s="1"/>
  <c r="C307" i="5"/>
  <c r="O307" i="5" s="1"/>
  <c r="P307" i="5" s="1"/>
  <c r="C306" i="5"/>
  <c r="O306" i="5" s="1"/>
  <c r="P306" i="5" s="1"/>
  <c r="C305" i="5"/>
  <c r="O305" i="5" s="1"/>
  <c r="P305" i="5" s="1"/>
  <c r="C304" i="5"/>
  <c r="O304" i="5" s="1"/>
  <c r="P304" i="5" s="1"/>
  <c r="C303" i="5"/>
  <c r="O303" i="5" s="1"/>
  <c r="P303" i="5" s="1"/>
  <c r="C302" i="5"/>
  <c r="O302" i="5" s="1"/>
  <c r="P302" i="5" s="1"/>
  <c r="C301" i="5"/>
  <c r="O301" i="5" s="1"/>
  <c r="P301" i="5" s="1"/>
  <c r="C300" i="5"/>
  <c r="O300" i="5" s="1"/>
  <c r="P300" i="5" s="1"/>
  <c r="C299" i="5"/>
  <c r="O299" i="5" s="1"/>
  <c r="P299" i="5" s="1"/>
  <c r="C298" i="5"/>
  <c r="O298" i="5" s="1"/>
  <c r="P298" i="5" s="1"/>
  <c r="C297" i="5"/>
  <c r="O297" i="5" s="1"/>
  <c r="P297" i="5" s="1"/>
  <c r="C296" i="5"/>
  <c r="O296" i="5" s="1"/>
  <c r="P296" i="5" s="1"/>
  <c r="C295" i="5"/>
  <c r="O295" i="5" s="1"/>
  <c r="P295" i="5" s="1"/>
  <c r="C294" i="5"/>
  <c r="O294" i="5" s="1"/>
  <c r="P294" i="5" s="1"/>
  <c r="C293" i="5"/>
  <c r="O293" i="5" s="1"/>
  <c r="P293" i="5" s="1"/>
  <c r="C292" i="5"/>
  <c r="O292" i="5" s="1"/>
  <c r="P292" i="5" s="1"/>
  <c r="C291" i="5"/>
  <c r="O291" i="5" s="1"/>
  <c r="P291" i="5" s="1"/>
  <c r="C290" i="5"/>
  <c r="O290" i="5" s="1"/>
  <c r="P290" i="5" s="1"/>
  <c r="C289" i="5"/>
  <c r="O289" i="5" s="1"/>
  <c r="P289" i="5" s="1"/>
  <c r="C288" i="5"/>
  <c r="O288" i="5" s="1"/>
  <c r="P288" i="5" s="1"/>
  <c r="C287" i="5"/>
  <c r="O287" i="5" s="1"/>
  <c r="P287" i="5" s="1"/>
  <c r="C286" i="5"/>
  <c r="O286" i="5" s="1"/>
  <c r="P286" i="5" s="1"/>
  <c r="C285" i="5"/>
  <c r="O285" i="5" s="1"/>
  <c r="P285" i="5" s="1"/>
  <c r="C284" i="5"/>
  <c r="O284" i="5" s="1"/>
  <c r="P284" i="5" s="1"/>
  <c r="C283" i="5"/>
  <c r="O283" i="5" s="1"/>
  <c r="P283" i="5" s="1"/>
  <c r="C282" i="5"/>
  <c r="O282" i="5" s="1"/>
  <c r="P282" i="5" s="1"/>
  <c r="C281" i="5"/>
  <c r="O281" i="5" s="1"/>
  <c r="P281" i="5" s="1"/>
  <c r="C280" i="5"/>
  <c r="O280" i="5" s="1"/>
  <c r="P280" i="5" s="1"/>
  <c r="C279" i="5"/>
  <c r="O279" i="5" s="1"/>
  <c r="P279" i="5" s="1"/>
  <c r="C278" i="5"/>
  <c r="O278" i="5" s="1"/>
  <c r="P278" i="5" s="1"/>
  <c r="C277" i="5"/>
  <c r="O277" i="5" s="1"/>
  <c r="P277" i="5" s="1"/>
  <c r="C276" i="5"/>
  <c r="O276" i="5" s="1"/>
  <c r="P276" i="5" s="1"/>
  <c r="C275" i="5"/>
  <c r="O275" i="5" s="1"/>
  <c r="P275" i="5" s="1"/>
  <c r="C274" i="5"/>
  <c r="O274" i="5" s="1"/>
  <c r="P274" i="5" s="1"/>
  <c r="C273" i="5"/>
  <c r="O273" i="5" s="1"/>
  <c r="P273" i="5" s="1"/>
  <c r="C272" i="5"/>
  <c r="O272" i="5" s="1"/>
  <c r="P272" i="5" s="1"/>
  <c r="C271" i="5"/>
  <c r="O271" i="5" s="1"/>
  <c r="P271" i="5" s="1"/>
  <c r="C270" i="5"/>
  <c r="O270" i="5" s="1"/>
  <c r="P270" i="5" s="1"/>
  <c r="C269" i="5"/>
  <c r="O269" i="5" s="1"/>
  <c r="P269" i="5" s="1"/>
  <c r="C268" i="5"/>
  <c r="O268" i="5" s="1"/>
  <c r="P268" i="5" s="1"/>
  <c r="C267" i="5"/>
  <c r="O267" i="5" s="1"/>
  <c r="P267" i="5" s="1"/>
  <c r="C266" i="5"/>
  <c r="O266" i="5" s="1"/>
  <c r="P266" i="5" s="1"/>
  <c r="C265" i="5"/>
  <c r="O265" i="5" s="1"/>
  <c r="P265" i="5" s="1"/>
  <c r="C264" i="5"/>
  <c r="O264" i="5" s="1"/>
  <c r="P264" i="5" s="1"/>
  <c r="C263" i="5"/>
  <c r="O263" i="5" s="1"/>
  <c r="P263" i="5" s="1"/>
  <c r="C262" i="5"/>
  <c r="O262" i="5" s="1"/>
  <c r="P262" i="5" s="1"/>
  <c r="C261" i="5"/>
  <c r="O261" i="5" s="1"/>
  <c r="P261" i="5" s="1"/>
  <c r="C260" i="5"/>
  <c r="O260" i="5" s="1"/>
  <c r="P260" i="5" s="1"/>
  <c r="C259" i="5"/>
  <c r="O259" i="5" s="1"/>
  <c r="P259" i="5" s="1"/>
  <c r="C258" i="5"/>
  <c r="O258" i="5" s="1"/>
  <c r="P258" i="5" s="1"/>
  <c r="C257" i="5"/>
  <c r="O257" i="5" s="1"/>
  <c r="P257" i="5" s="1"/>
  <c r="C256" i="5"/>
  <c r="O256" i="5" s="1"/>
  <c r="P256" i="5" s="1"/>
  <c r="C255" i="5"/>
  <c r="O255" i="5" s="1"/>
  <c r="P255" i="5" s="1"/>
  <c r="C254" i="5"/>
  <c r="O254" i="5" s="1"/>
  <c r="P254" i="5" s="1"/>
  <c r="C253" i="5"/>
  <c r="O253" i="5" s="1"/>
  <c r="P253" i="5" s="1"/>
  <c r="C252" i="5"/>
  <c r="O252" i="5" s="1"/>
  <c r="P252" i="5" s="1"/>
  <c r="C251" i="5"/>
  <c r="O251" i="5" s="1"/>
  <c r="P251" i="5" s="1"/>
  <c r="C250" i="5"/>
  <c r="O250" i="5" s="1"/>
  <c r="P250" i="5" s="1"/>
  <c r="C249" i="5"/>
  <c r="O249" i="5" s="1"/>
  <c r="P249" i="5" s="1"/>
  <c r="C248" i="5"/>
  <c r="O248" i="5" s="1"/>
  <c r="P248" i="5" s="1"/>
  <c r="C247" i="5"/>
  <c r="O247" i="5" s="1"/>
  <c r="P247" i="5" s="1"/>
  <c r="C246" i="5"/>
  <c r="O246" i="5" s="1"/>
  <c r="P246" i="5" s="1"/>
  <c r="C245" i="5"/>
  <c r="O245" i="5" s="1"/>
  <c r="P245" i="5" s="1"/>
  <c r="C244" i="5"/>
  <c r="O244" i="5" s="1"/>
  <c r="P244" i="5" s="1"/>
  <c r="C243" i="5"/>
  <c r="O243" i="5" s="1"/>
  <c r="P243" i="5" s="1"/>
  <c r="C242" i="5"/>
  <c r="O242" i="5" s="1"/>
  <c r="P242" i="5" s="1"/>
  <c r="C241" i="5"/>
  <c r="O241" i="5" s="1"/>
  <c r="P241" i="5" s="1"/>
  <c r="C240" i="5"/>
  <c r="O240" i="5" s="1"/>
  <c r="P240" i="5" s="1"/>
  <c r="C239" i="5"/>
  <c r="O239" i="5" s="1"/>
  <c r="P239" i="5" s="1"/>
  <c r="C238" i="5"/>
  <c r="O238" i="5" s="1"/>
  <c r="P238" i="5" s="1"/>
  <c r="C237" i="5"/>
  <c r="O237" i="5" s="1"/>
  <c r="P237" i="5" s="1"/>
  <c r="C236" i="5"/>
  <c r="O236" i="5" s="1"/>
  <c r="P236" i="5" s="1"/>
  <c r="C235" i="5"/>
  <c r="O235" i="5" s="1"/>
  <c r="P235" i="5" s="1"/>
  <c r="C234" i="5"/>
  <c r="O234" i="5" s="1"/>
  <c r="P234" i="5" s="1"/>
  <c r="C233" i="5"/>
  <c r="O233" i="5" s="1"/>
  <c r="P233" i="5" s="1"/>
  <c r="C232" i="5"/>
  <c r="O232" i="5" s="1"/>
  <c r="P232" i="5" s="1"/>
  <c r="C231" i="5"/>
  <c r="O231" i="5" s="1"/>
  <c r="P231" i="5" s="1"/>
  <c r="C230" i="5"/>
  <c r="O230" i="5" s="1"/>
  <c r="P230" i="5" s="1"/>
  <c r="C229" i="5"/>
  <c r="O229" i="5" s="1"/>
  <c r="P229" i="5" s="1"/>
  <c r="C228" i="5"/>
  <c r="O228" i="5" s="1"/>
  <c r="P228" i="5" s="1"/>
  <c r="C227" i="5"/>
  <c r="O227" i="5" s="1"/>
  <c r="P227" i="5" s="1"/>
  <c r="C226" i="5"/>
  <c r="O226" i="5" s="1"/>
  <c r="P226" i="5" s="1"/>
  <c r="C225" i="5"/>
  <c r="O225" i="5" s="1"/>
  <c r="P225" i="5" s="1"/>
  <c r="C224" i="5"/>
  <c r="O224" i="5" s="1"/>
  <c r="P224" i="5" s="1"/>
  <c r="C223" i="5"/>
  <c r="O223" i="5" s="1"/>
  <c r="P223" i="5" s="1"/>
  <c r="C222" i="5"/>
  <c r="O222" i="5" s="1"/>
  <c r="P222" i="5" s="1"/>
  <c r="C221" i="5"/>
  <c r="O221" i="5" s="1"/>
  <c r="P221" i="5" s="1"/>
  <c r="C220" i="5"/>
  <c r="O220" i="5" s="1"/>
  <c r="P220" i="5" s="1"/>
  <c r="C219" i="5"/>
  <c r="O219" i="5" s="1"/>
  <c r="P219" i="5" s="1"/>
  <c r="C218" i="5"/>
  <c r="O218" i="5" s="1"/>
  <c r="P218" i="5" s="1"/>
  <c r="C217" i="5"/>
  <c r="O217" i="5" s="1"/>
  <c r="P217" i="5" s="1"/>
  <c r="C216" i="5"/>
  <c r="O216" i="5" s="1"/>
  <c r="P216" i="5" s="1"/>
  <c r="C215" i="5"/>
  <c r="O215" i="5" s="1"/>
  <c r="P215" i="5" s="1"/>
  <c r="C214" i="5"/>
  <c r="O214" i="5" s="1"/>
  <c r="P214" i="5" s="1"/>
  <c r="C213" i="5"/>
  <c r="O213" i="5" s="1"/>
  <c r="P213" i="5" s="1"/>
  <c r="C212" i="5"/>
  <c r="O212" i="5" s="1"/>
  <c r="P212" i="5" s="1"/>
  <c r="C211" i="5"/>
  <c r="O211" i="5" s="1"/>
  <c r="P211" i="5" s="1"/>
  <c r="C210" i="5"/>
  <c r="O210" i="5" s="1"/>
  <c r="P210" i="5" s="1"/>
  <c r="C209" i="5"/>
  <c r="O209" i="5" s="1"/>
  <c r="P209" i="5" s="1"/>
  <c r="C208" i="5"/>
  <c r="O208" i="5" s="1"/>
  <c r="P208" i="5" s="1"/>
  <c r="C207" i="5"/>
  <c r="O207" i="5" s="1"/>
  <c r="P207" i="5" s="1"/>
  <c r="C206" i="5"/>
  <c r="O206" i="5" s="1"/>
  <c r="P206" i="5" s="1"/>
  <c r="C205" i="5"/>
  <c r="O205" i="5" s="1"/>
  <c r="P205" i="5" s="1"/>
  <c r="C204" i="5"/>
  <c r="O204" i="5" s="1"/>
  <c r="P204" i="5" s="1"/>
  <c r="C203" i="5"/>
  <c r="O203" i="5" s="1"/>
  <c r="P203" i="5" s="1"/>
  <c r="C202" i="5"/>
  <c r="O202" i="5" s="1"/>
  <c r="P202" i="5" s="1"/>
  <c r="C201" i="5"/>
  <c r="O201" i="5" s="1"/>
  <c r="P201" i="5" s="1"/>
  <c r="C200" i="5"/>
  <c r="O200" i="5" s="1"/>
  <c r="P200" i="5" s="1"/>
  <c r="C199" i="5"/>
  <c r="O199" i="5" s="1"/>
  <c r="P199" i="5" s="1"/>
  <c r="C198" i="5"/>
  <c r="O198" i="5" s="1"/>
  <c r="P198" i="5" s="1"/>
  <c r="C197" i="5"/>
  <c r="O197" i="5" s="1"/>
  <c r="P197" i="5" s="1"/>
  <c r="C196" i="5"/>
  <c r="O196" i="5" s="1"/>
  <c r="P196" i="5" s="1"/>
  <c r="C195" i="5"/>
  <c r="O195" i="5" s="1"/>
  <c r="P195" i="5" s="1"/>
  <c r="C194" i="5"/>
  <c r="O194" i="5" s="1"/>
  <c r="P194" i="5" s="1"/>
  <c r="C193" i="5"/>
  <c r="O193" i="5" s="1"/>
  <c r="P193" i="5" s="1"/>
  <c r="C192" i="5"/>
  <c r="O192" i="5" s="1"/>
  <c r="P192" i="5" s="1"/>
  <c r="C191" i="5"/>
  <c r="O191" i="5" s="1"/>
  <c r="P191" i="5" s="1"/>
  <c r="C190" i="5"/>
  <c r="O190" i="5" s="1"/>
  <c r="P190" i="5" s="1"/>
  <c r="C189" i="5"/>
  <c r="O189" i="5" s="1"/>
  <c r="P189" i="5" s="1"/>
  <c r="C188" i="5"/>
  <c r="O188" i="5" s="1"/>
  <c r="P188" i="5" s="1"/>
  <c r="C187" i="5"/>
  <c r="O187" i="5" s="1"/>
  <c r="P187" i="5" s="1"/>
  <c r="C186" i="5"/>
  <c r="O186" i="5" s="1"/>
  <c r="P186" i="5" s="1"/>
  <c r="C185" i="5"/>
  <c r="O185" i="5" s="1"/>
  <c r="P185" i="5" s="1"/>
  <c r="C184" i="5"/>
  <c r="O184" i="5" s="1"/>
  <c r="P184" i="5" s="1"/>
  <c r="C183" i="5"/>
  <c r="O183" i="5" s="1"/>
  <c r="P183" i="5" s="1"/>
  <c r="C182" i="5"/>
  <c r="O182" i="5" s="1"/>
  <c r="P182" i="5" s="1"/>
  <c r="C181" i="5"/>
  <c r="O181" i="5" s="1"/>
  <c r="P181" i="5" s="1"/>
  <c r="C180" i="5"/>
  <c r="O180" i="5" s="1"/>
  <c r="P180" i="5" s="1"/>
  <c r="C179" i="5"/>
  <c r="O179" i="5" s="1"/>
  <c r="P179" i="5" s="1"/>
  <c r="C178" i="5"/>
  <c r="O178" i="5" s="1"/>
  <c r="P178" i="5" s="1"/>
  <c r="C177" i="5"/>
  <c r="O177" i="5" s="1"/>
  <c r="P177" i="5" s="1"/>
  <c r="C176" i="5"/>
  <c r="O176" i="5" s="1"/>
  <c r="P176" i="5" s="1"/>
  <c r="C175" i="5"/>
  <c r="O175" i="5" s="1"/>
  <c r="P175" i="5" s="1"/>
  <c r="C174" i="5"/>
  <c r="O174" i="5" s="1"/>
  <c r="P174" i="5" s="1"/>
  <c r="C173" i="5"/>
  <c r="O173" i="5" s="1"/>
  <c r="P173" i="5" s="1"/>
  <c r="C172" i="5"/>
  <c r="O172" i="5" s="1"/>
  <c r="P172" i="5" s="1"/>
  <c r="C171" i="5"/>
  <c r="O171" i="5" s="1"/>
  <c r="P171" i="5" s="1"/>
  <c r="C170" i="5"/>
  <c r="O170" i="5" s="1"/>
  <c r="P170" i="5" s="1"/>
  <c r="C169" i="5"/>
  <c r="O169" i="5" s="1"/>
  <c r="P169" i="5" s="1"/>
  <c r="C168" i="5"/>
  <c r="O168" i="5" s="1"/>
  <c r="P168" i="5" s="1"/>
  <c r="C167" i="5"/>
  <c r="O167" i="5" s="1"/>
  <c r="P167" i="5" s="1"/>
  <c r="C166" i="5"/>
  <c r="O166" i="5" s="1"/>
  <c r="P166" i="5" s="1"/>
  <c r="C165" i="5"/>
  <c r="O165" i="5" s="1"/>
  <c r="P165" i="5" s="1"/>
  <c r="C164" i="5"/>
  <c r="O164" i="5" s="1"/>
  <c r="P164" i="5" s="1"/>
  <c r="C163" i="5"/>
  <c r="O163" i="5" s="1"/>
  <c r="P163" i="5" s="1"/>
  <c r="C162" i="5"/>
  <c r="O162" i="5" s="1"/>
  <c r="P162" i="5" s="1"/>
  <c r="C161" i="5"/>
  <c r="O161" i="5" s="1"/>
  <c r="P161" i="5" s="1"/>
  <c r="C160" i="5"/>
  <c r="O160" i="5" s="1"/>
  <c r="P160" i="5" s="1"/>
  <c r="B159" i="5"/>
  <c r="B158" i="5"/>
  <c r="B24" i="5"/>
  <c r="B23" i="5"/>
  <c r="I22" i="5"/>
  <c r="G22" i="5"/>
  <c r="E22" i="5"/>
  <c r="C22" i="5"/>
  <c r="I21" i="5"/>
  <c r="G21" i="5"/>
  <c r="E21" i="5"/>
  <c r="C21" i="5"/>
  <c r="I20" i="5"/>
  <c r="G20" i="5"/>
  <c r="E20" i="5"/>
  <c r="C20" i="5"/>
  <c r="I19" i="5"/>
  <c r="G19" i="5"/>
  <c r="E19" i="5"/>
  <c r="C19" i="5"/>
  <c r="I18" i="5"/>
  <c r="G18" i="5"/>
  <c r="E18" i="5"/>
  <c r="C18" i="5"/>
  <c r="I17" i="5"/>
  <c r="G17" i="5"/>
  <c r="E17" i="5"/>
  <c r="C17" i="5"/>
  <c r="I16" i="5"/>
  <c r="G16" i="5"/>
  <c r="E16" i="5"/>
  <c r="C16" i="5"/>
  <c r="I15" i="5"/>
  <c r="G15" i="5"/>
  <c r="E15" i="5"/>
  <c r="C15" i="5"/>
  <c r="I14" i="5"/>
  <c r="G14" i="5"/>
  <c r="E14" i="5"/>
  <c r="C14" i="5"/>
  <c r="I13" i="5"/>
  <c r="G13" i="5"/>
  <c r="E13" i="5"/>
  <c r="C13" i="5"/>
  <c r="I12" i="5"/>
  <c r="G12" i="5"/>
  <c r="F12" i="5"/>
  <c r="E12" i="5"/>
  <c r="D12" i="5"/>
  <c r="C12" i="5"/>
  <c r="B11" i="5"/>
  <c r="F9" i="5"/>
  <c r="D9" i="5"/>
  <c r="F8" i="5"/>
  <c r="D8" i="5"/>
  <c r="K7" i="5"/>
  <c r="I6" i="5"/>
  <c r="L239" i="3"/>
  <c r="D239" i="3"/>
  <c r="L238" i="3"/>
  <c r="D238" i="3"/>
  <c r="L237" i="3"/>
  <c r="D237" i="3"/>
  <c r="L236" i="3"/>
  <c r="K236" i="3"/>
  <c r="D236" i="3"/>
  <c r="D235" i="3"/>
  <c r="L233" i="3"/>
  <c r="K233" i="3"/>
  <c r="D233" i="3"/>
  <c r="L232" i="3"/>
  <c r="K232" i="3"/>
  <c r="D232" i="3"/>
  <c r="L231" i="3"/>
  <c r="K231" i="3"/>
  <c r="D231" i="3"/>
  <c r="L230" i="3"/>
  <c r="K230" i="3"/>
  <c r="D230" i="3"/>
  <c r="L229" i="3"/>
  <c r="K229" i="3"/>
  <c r="D229" i="3"/>
  <c r="L228" i="3"/>
  <c r="K228" i="3"/>
  <c r="D228" i="3"/>
  <c r="L227" i="3"/>
  <c r="K227" i="3"/>
  <c r="D227" i="3"/>
  <c r="L226" i="3"/>
  <c r="K226" i="3"/>
  <c r="D226" i="3"/>
  <c r="L225" i="3"/>
  <c r="K225" i="3"/>
  <c r="D225" i="3"/>
  <c r="L224" i="3"/>
  <c r="K224" i="3"/>
  <c r="D224" i="3"/>
  <c r="L223" i="3"/>
  <c r="K223" i="3"/>
  <c r="D223" i="3"/>
  <c r="L222" i="3"/>
  <c r="K222" i="3"/>
  <c r="D222" i="3"/>
  <c r="D221" i="3"/>
  <c r="L219" i="3"/>
  <c r="K219" i="3"/>
  <c r="D219" i="3"/>
  <c r="L218" i="3"/>
  <c r="K218" i="3"/>
  <c r="D218" i="3"/>
  <c r="L217" i="3"/>
  <c r="K217" i="3"/>
  <c r="D217" i="3"/>
  <c r="L216" i="3"/>
  <c r="K216" i="3"/>
  <c r="D216" i="3"/>
  <c r="L215" i="3"/>
  <c r="K215" i="3"/>
  <c r="D215" i="3"/>
  <c r="L214" i="3"/>
  <c r="K214" i="3"/>
  <c r="D214" i="3"/>
  <c r="L213" i="3"/>
  <c r="K213" i="3"/>
  <c r="D213" i="3"/>
  <c r="L212" i="3"/>
  <c r="K212" i="3"/>
  <c r="D212" i="3"/>
  <c r="L211" i="3"/>
  <c r="K211" i="3"/>
  <c r="D211" i="3"/>
  <c r="L210" i="3"/>
  <c r="K210" i="3"/>
  <c r="D210" i="3"/>
  <c r="L209" i="3"/>
  <c r="K209" i="3"/>
  <c r="D209" i="3"/>
  <c r="L208" i="3"/>
  <c r="K208" i="3"/>
  <c r="D208" i="3"/>
  <c r="L207" i="3"/>
  <c r="K207" i="3"/>
  <c r="D207" i="3"/>
  <c r="L206" i="3"/>
  <c r="K206" i="3"/>
  <c r="D206" i="3"/>
  <c r="L205" i="3"/>
  <c r="K205" i="3"/>
  <c r="D205" i="3"/>
  <c r="L204" i="3"/>
  <c r="K204" i="3"/>
  <c r="D204" i="3"/>
  <c r="L203" i="3"/>
  <c r="K203" i="3"/>
  <c r="D203" i="3"/>
  <c r="D202" i="3"/>
  <c r="L200" i="3"/>
  <c r="K200" i="3"/>
  <c r="D200" i="3"/>
  <c r="L199" i="3"/>
  <c r="K199" i="3"/>
  <c r="D199" i="3"/>
  <c r="L198" i="3"/>
  <c r="K198" i="3"/>
  <c r="D198" i="3"/>
  <c r="L197" i="3"/>
  <c r="K197" i="3"/>
  <c r="D197" i="3"/>
  <c r="L196" i="3"/>
  <c r="K196" i="3"/>
  <c r="D196" i="3"/>
  <c r="L195" i="3"/>
  <c r="K195" i="3"/>
  <c r="D195" i="3"/>
  <c r="L194" i="3"/>
  <c r="K194" i="3"/>
  <c r="D194" i="3"/>
  <c r="L193" i="3"/>
  <c r="K193" i="3"/>
  <c r="D193" i="3"/>
  <c r="L192" i="3"/>
  <c r="K192" i="3"/>
  <c r="D192" i="3"/>
  <c r="L191" i="3"/>
  <c r="K191" i="3"/>
  <c r="D191" i="3"/>
  <c r="L190" i="3"/>
  <c r="K190" i="3"/>
  <c r="D190" i="3"/>
  <c r="L189" i="3"/>
  <c r="K189" i="3"/>
  <c r="D189" i="3"/>
  <c r="L188" i="3"/>
  <c r="K188" i="3"/>
  <c r="D188" i="3"/>
  <c r="L187" i="3"/>
  <c r="K187" i="3"/>
  <c r="D187" i="3"/>
  <c r="L186" i="3"/>
  <c r="K186" i="3"/>
  <c r="D186" i="3"/>
  <c r="D185" i="3"/>
  <c r="L183" i="3"/>
  <c r="K183" i="3"/>
  <c r="D183" i="3"/>
  <c r="L182" i="3"/>
  <c r="K182" i="3"/>
  <c r="D182" i="3"/>
  <c r="L181" i="3"/>
  <c r="K181" i="3"/>
  <c r="D181" i="3"/>
  <c r="L180" i="3"/>
  <c r="K180" i="3"/>
  <c r="D180" i="3"/>
  <c r="L179" i="3"/>
  <c r="K179" i="3"/>
  <c r="D179" i="3"/>
  <c r="L178" i="3"/>
  <c r="K178" i="3"/>
  <c r="D178" i="3"/>
  <c r="L177" i="3"/>
  <c r="K177" i="3"/>
  <c r="D177" i="3"/>
  <c r="L176" i="3"/>
  <c r="K176" i="3"/>
  <c r="D176" i="3"/>
  <c r="L175" i="3"/>
  <c r="K175" i="3"/>
  <c r="D175" i="3"/>
  <c r="L174" i="3"/>
  <c r="K174" i="3"/>
  <c r="D174" i="3"/>
  <c r="L173" i="3"/>
  <c r="K173" i="3"/>
  <c r="D173" i="3"/>
  <c r="L172" i="3"/>
  <c r="K172" i="3"/>
  <c r="D172" i="3"/>
  <c r="L171" i="3"/>
  <c r="K171" i="3"/>
  <c r="D171" i="3"/>
  <c r="L170" i="3"/>
  <c r="K170" i="3"/>
  <c r="D170" i="3"/>
  <c r="L169" i="3"/>
  <c r="K169" i="3"/>
  <c r="D169" i="3"/>
  <c r="D168" i="3"/>
  <c r="L166" i="3"/>
  <c r="K166" i="3"/>
  <c r="D166" i="3"/>
  <c r="L165" i="3"/>
  <c r="K165" i="3"/>
  <c r="D165" i="3"/>
  <c r="L164" i="3"/>
  <c r="K164" i="3"/>
  <c r="D164" i="3"/>
  <c r="L163" i="3"/>
  <c r="K163" i="3"/>
  <c r="D163" i="3"/>
  <c r="L162" i="3"/>
  <c r="K162" i="3"/>
  <c r="D162" i="3"/>
  <c r="L161" i="3"/>
  <c r="K161" i="3"/>
  <c r="D161" i="3"/>
  <c r="L160" i="3"/>
  <c r="K160" i="3"/>
  <c r="D160" i="3"/>
  <c r="L159" i="3"/>
  <c r="K159" i="3"/>
  <c r="D159" i="3"/>
  <c r="L158" i="3"/>
  <c r="K158" i="3"/>
  <c r="D158" i="3"/>
  <c r="L157" i="3"/>
  <c r="K157" i="3"/>
  <c r="D157" i="3"/>
  <c r="L156" i="3"/>
  <c r="K156" i="3"/>
  <c r="D156" i="3"/>
  <c r="L155" i="3"/>
  <c r="K155" i="3"/>
  <c r="D155" i="3"/>
  <c r="L154" i="3"/>
  <c r="K154" i="3"/>
  <c r="D154" i="3"/>
  <c r="L153" i="3"/>
  <c r="K153" i="3"/>
  <c r="D153" i="3"/>
  <c r="L152" i="3"/>
  <c r="K152" i="3"/>
  <c r="D152" i="3"/>
  <c r="D151" i="3"/>
  <c r="L149" i="3"/>
  <c r="K149" i="3"/>
  <c r="G149" i="3"/>
  <c r="D149" i="3"/>
  <c r="L148" i="3"/>
  <c r="K148" i="3"/>
  <c r="G148" i="3"/>
  <c r="D148" i="3"/>
  <c r="L147" i="3"/>
  <c r="K147" i="3"/>
  <c r="G147" i="3"/>
  <c r="D147" i="3"/>
  <c r="L146" i="3"/>
  <c r="K146" i="3"/>
  <c r="D146" i="3"/>
  <c r="L145" i="3"/>
  <c r="K145" i="3"/>
  <c r="D145" i="3"/>
  <c r="L144" i="3"/>
  <c r="K144" i="3"/>
  <c r="D144" i="3"/>
  <c r="L143" i="3"/>
  <c r="K143" i="3"/>
  <c r="D143" i="3"/>
  <c r="L142" i="3"/>
  <c r="K142" i="3"/>
  <c r="D142" i="3"/>
  <c r="L141" i="3"/>
  <c r="K141" i="3"/>
  <c r="D141" i="3"/>
  <c r="L140" i="3"/>
  <c r="K140" i="3"/>
  <c r="D140" i="3"/>
  <c r="L139" i="3"/>
  <c r="K139" i="3"/>
  <c r="L138" i="3"/>
  <c r="K138" i="3"/>
  <c r="J138" i="3"/>
  <c r="L137" i="3"/>
  <c r="K137" i="3"/>
  <c r="G137" i="3"/>
  <c r="L136" i="3"/>
  <c r="K136" i="3"/>
  <c r="L135" i="3"/>
  <c r="K135" i="3"/>
  <c r="D135" i="3"/>
  <c r="L134" i="3"/>
  <c r="K134" i="3"/>
  <c r="L133" i="3"/>
  <c r="K133" i="3"/>
  <c r="G133" i="3"/>
  <c r="L132" i="3"/>
  <c r="K132" i="3"/>
  <c r="L131" i="3"/>
  <c r="K131" i="3"/>
  <c r="D131" i="3"/>
  <c r="L130" i="3"/>
  <c r="K130" i="3"/>
  <c r="L129" i="3"/>
  <c r="K129" i="3"/>
  <c r="J129" i="3"/>
  <c r="L128" i="3"/>
  <c r="K128" i="3"/>
  <c r="G128" i="3"/>
  <c r="L127" i="3"/>
  <c r="K127" i="3"/>
  <c r="L126" i="3"/>
  <c r="K126" i="3"/>
  <c r="D126" i="3"/>
  <c r="L125" i="3"/>
  <c r="K125" i="3"/>
  <c r="L124" i="3"/>
  <c r="K124" i="3"/>
  <c r="G124" i="3"/>
  <c r="L123" i="3"/>
  <c r="K123" i="3"/>
  <c r="L122" i="3"/>
  <c r="K122" i="3"/>
  <c r="D122" i="3"/>
  <c r="D121" i="3"/>
  <c r="L119" i="3"/>
  <c r="K119" i="3"/>
  <c r="D119" i="3"/>
  <c r="L118" i="3"/>
  <c r="K118" i="3"/>
  <c r="D118" i="3"/>
  <c r="L117" i="3"/>
  <c r="K117" i="3"/>
  <c r="D117" i="3"/>
  <c r="L116" i="3"/>
  <c r="K116" i="3"/>
  <c r="D116" i="3"/>
  <c r="L115" i="3"/>
  <c r="K115" i="3"/>
  <c r="D115" i="3"/>
  <c r="L114" i="3"/>
  <c r="K114" i="3"/>
  <c r="D114" i="3"/>
  <c r="L113" i="3"/>
  <c r="K113" i="3"/>
  <c r="D113" i="3"/>
  <c r="L112" i="3"/>
  <c r="K112" i="3"/>
  <c r="D112" i="3"/>
  <c r="L111" i="3"/>
  <c r="K111" i="3"/>
  <c r="L110" i="3"/>
  <c r="K110" i="3"/>
  <c r="D110" i="3"/>
  <c r="L109" i="3"/>
  <c r="K109" i="3"/>
  <c r="D109" i="3"/>
  <c r="L108" i="3"/>
  <c r="K108" i="3"/>
  <c r="D108" i="3"/>
  <c r="L107" i="3"/>
  <c r="K107" i="3"/>
  <c r="D107" i="3"/>
  <c r="L106" i="3"/>
  <c r="K106" i="3"/>
  <c r="D106" i="3"/>
  <c r="L105" i="3"/>
  <c r="K105" i="3"/>
  <c r="D105" i="3"/>
  <c r="L104" i="3"/>
  <c r="K104" i="3"/>
  <c r="D104" i="3"/>
  <c r="L103" i="3"/>
  <c r="K103" i="3"/>
  <c r="D103" i="3"/>
  <c r="L102" i="3"/>
  <c r="K102" i="3"/>
  <c r="D102" i="3"/>
  <c r="L101" i="3"/>
  <c r="K101" i="3"/>
  <c r="D101" i="3"/>
  <c r="L100" i="3"/>
  <c r="K100" i="3"/>
  <c r="D100" i="3"/>
  <c r="L99" i="3"/>
  <c r="K99" i="3"/>
  <c r="D99" i="3"/>
  <c r="L98" i="3"/>
  <c r="K98" i="3"/>
  <c r="D98" i="3"/>
  <c r="L97" i="3"/>
  <c r="K97" i="3"/>
  <c r="L96" i="3"/>
  <c r="K96" i="3"/>
  <c r="D96" i="3"/>
  <c r="L95" i="3"/>
  <c r="K95" i="3"/>
  <c r="L94" i="3"/>
  <c r="K94" i="3"/>
  <c r="D94" i="3"/>
  <c r="L93" i="3"/>
  <c r="K93" i="3"/>
  <c r="L92" i="3"/>
  <c r="K92" i="3"/>
  <c r="L91" i="3"/>
  <c r="K91" i="3"/>
  <c r="D91" i="3"/>
  <c r="L90" i="3"/>
  <c r="K90" i="3"/>
  <c r="L89" i="3"/>
  <c r="K89" i="3"/>
  <c r="L88" i="3"/>
  <c r="K88" i="3"/>
  <c r="L87" i="3"/>
  <c r="K87" i="3"/>
  <c r="D87" i="3"/>
  <c r="L86" i="3"/>
  <c r="K86" i="3"/>
  <c r="J86" i="3"/>
  <c r="H86" i="3"/>
  <c r="B86" i="3" s="1"/>
  <c r="D86" i="3"/>
  <c r="L85" i="3"/>
  <c r="K85" i="3"/>
  <c r="D85" i="3"/>
  <c r="L84" i="3"/>
  <c r="K84" i="3"/>
  <c r="D84" i="3"/>
  <c r="L83" i="3"/>
  <c r="K83" i="3"/>
  <c r="D83" i="3"/>
  <c r="L82" i="3"/>
  <c r="K82" i="3"/>
  <c r="D82" i="3"/>
  <c r="L81" i="3"/>
  <c r="K81" i="3"/>
  <c r="D81" i="3"/>
  <c r="L80" i="3"/>
  <c r="K80" i="3"/>
  <c r="L79" i="3"/>
  <c r="K79" i="3"/>
  <c r="D79" i="3"/>
  <c r="L78" i="3"/>
  <c r="K78" i="3"/>
  <c r="L77" i="3"/>
  <c r="K77" i="3"/>
  <c r="D77" i="3"/>
  <c r="L76" i="3"/>
  <c r="K76" i="3"/>
  <c r="L75" i="3"/>
  <c r="K75" i="3"/>
  <c r="D75" i="3"/>
  <c r="L73" i="3"/>
  <c r="K73" i="3"/>
  <c r="L72" i="3"/>
  <c r="K72" i="3"/>
  <c r="D72" i="3"/>
  <c r="L71" i="3"/>
  <c r="K71" i="3"/>
  <c r="L70" i="3"/>
  <c r="K70" i="3"/>
  <c r="D70" i="3"/>
  <c r="L69" i="3"/>
  <c r="D69" i="3"/>
  <c r="L68" i="3"/>
  <c r="D68" i="3"/>
  <c r="L67" i="3"/>
  <c r="D67" i="3"/>
  <c r="L66" i="3"/>
  <c r="K66" i="3"/>
  <c r="L65" i="3"/>
  <c r="K65" i="3"/>
  <c r="D65" i="3"/>
  <c r="L64" i="3"/>
  <c r="K64" i="3"/>
  <c r="D64" i="3"/>
  <c r="L63" i="3"/>
  <c r="D63" i="3"/>
  <c r="L62" i="3"/>
  <c r="K62" i="3"/>
  <c r="L61" i="3"/>
  <c r="K61" i="3"/>
  <c r="D61" i="3"/>
  <c r="L60" i="3"/>
  <c r="K60" i="3"/>
  <c r="D60" i="3"/>
  <c r="L59" i="3"/>
  <c r="K59" i="3"/>
  <c r="D59" i="3"/>
  <c r="L58" i="3"/>
  <c r="K58" i="3"/>
  <c r="D58" i="3"/>
  <c r="L57" i="3"/>
  <c r="K57" i="3"/>
  <c r="D57" i="3"/>
  <c r="L56" i="3"/>
  <c r="K56" i="3"/>
  <c r="D56" i="3"/>
  <c r="L55" i="3"/>
  <c r="K55" i="3"/>
  <c r="D55" i="3"/>
  <c r="L54" i="3"/>
  <c r="K54" i="3"/>
  <c r="D54" i="3"/>
  <c r="L53" i="3"/>
  <c r="K53" i="3"/>
  <c r="D53" i="3"/>
  <c r="L52" i="3"/>
  <c r="K52" i="3"/>
  <c r="D52" i="3"/>
  <c r="L51" i="3"/>
  <c r="K51" i="3"/>
  <c r="L50" i="3"/>
  <c r="K50" i="3"/>
  <c r="J50" i="3"/>
  <c r="L49" i="3"/>
  <c r="K49" i="3"/>
  <c r="L48" i="3"/>
  <c r="K48" i="3"/>
  <c r="L47" i="3"/>
  <c r="K47" i="3"/>
  <c r="D47" i="3"/>
  <c r="L46" i="3"/>
  <c r="K46" i="3"/>
  <c r="L45" i="3"/>
  <c r="K45" i="3"/>
  <c r="L44" i="3"/>
  <c r="K44" i="3"/>
  <c r="L43" i="3"/>
  <c r="K43" i="3"/>
  <c r="D43" i="3"/>
  <c r="L42" i="3"/>
  <c r="K42" i="3"/>
  <c r="L41" i="3"/>
  <c r="K41" i="3"/>
  <c r="J41" i="3"/>
  <c r="L40" i="3"/>
  <c r="K40" i="3"/>
  <c r="L39" i="3"/>
  <c r="K39" i="3"/>
  <c r="L38" i="3"/>
  <c r="K38" i="3"/>
  <c r="D38" i="3"/>
  <c r="L37" i="3"/>
  <c r="K37" i="3"/>
  <c r="L36" i="3"/>
  <c r="K36" i="3"/>
  <c r="L35" i="3"/>
  <c r="K35" i="3"/>
  <c r="L34" i="3"/>
  <c r="K34" i="3"/>
  <c r="D34" i="3"/>
  <c r="L33" i="3"/>
  <c r="D33" i="3"/>
  <c r="L32" i="3"/>
  <c r="K32" i="3"/>
  <c r="D32" i="3"/>
  <c r="D31" i="3"/>
  <c r="B31" i="3"/>
  <c r="C31" i="3" s="1"/>
  <c r="B30" i="3"/>
  <c r="L29" i="3"/>
  <c r="K29" i="3"/>
  <c r="D29" i="3"/>
  <c r="L28" i="3"/>
  <c r="K28" i="3"/>
  <c r="D28" i="3"/>
  <c r="L27" i="3"/>
  <c r="K27" i="3"/>
  <c r="D27" i="3"/>
  <c r="L26" i="3"/>
  <c r="K26" i="3"/>
  <c r="D26" i="3"/>
  <c r="L25" i="3"/>
  <c r="K25" i="3"/>
  <c r="D25" i="3"/>
  <c r="L24" i="3"/>
  <c r="K24" i="3"/>
  <c r="D24" i="3"/>
  <c r="L23" i="3"/>
  <c r="K23" i="3"/>
  <c r="D23" i="3"/>
  <c r="L22" i="3"/>
  <c r="K22" i="3"/>
  <c r="D22" i="3"/>
  <c r="L21" i="3"/>
  <c r="K21" i="3"/>
  <c r="D21" i="3"/>
  <c r="L20" i="3"/>
  <c r="K20" i="3"/>
  <c r="D20" i="3"/>
  <c r="L19" i="3"/>
  <c r="K19" i="3"/>
  <c r="D19" i="3"/>
  <c r="L18" i="3"/>
  <c r="K18" i="3"/>
  <c r="D18" i="3"/>
  <c r="L17" i="3"/>
  <c r="K17" i="3"/>
  <c r="D17" i="3"/>
  <c r="L16" i="3"/>
  <c r="K16" i="3"/>
  <c r="D16" i="3"/>
  <c r="L15" i="3"/>
  <c r="K15" i="3"/>
  <c r="D15" i="3"/>
  <c r="L14" i="3"/>
  <c r="K14" i="3"/>
  <c r="D14" i="3"/>
  <c r="L13" i="3"/>
  <c r="K13" i="3"/>
  <c r="D13" i="3"/>
  <c r="L12" i="3"/>
  <c r="K12" i="3"/>
  <c r="D12" i="3"/>
  <c r="L11" i="3"/>
  <c r="K11" i="3"/>
  <c r="D11" i="3"/>
  <c r="L10" i="3"/>
  <c r="K10" i="3"/>
  <c r="D10" i="3"/>
  <c r="D9" i="3"/>
  <c r="G6" i="3"/>
  <c r="E6" i="3"/>
  <c r="G5" i="3"/>
  <c r="E5" i="3"/>
  <c r="J4" i="3"/>
  <c r="F435" i="2"/>
  <c r="F434" i="2"/>
  <c r="F433" i="2"/>
  <c r="M432" i="2"/>
  <c r="C157" i="5" s="1"/>
  <c r="O157" i="5" s="1"/>
  <c r="P157" i="5" s="1"/>
  <c r="F157" i="5" s="1"/>
  <c r="N157" i="5" s="1"/>
  <c r="B157" i="5" s="1"/>
  <c r="H432" i="2"/>
  <c r="F432" i="2"/>
  <c r="C432" i="2"/>
  <c r="M431" i="2"/>
  <c r="C156" i="5" s="1"/>
  <c r="O156" i="5" s="1"/>
  <c r="P156" i="5" s="1"/>
  <c r="F156" i="5" s="1"/>
  <c r="N156" i="5" s="1"/>
  <c r="B156" i="5" s="1"/>
  <c r="H431" i="2"/>
  <c r="F431" i="2"/>
  <c r="C431" i="2"/>
  <c r="M430" i="2"/>
  <c r="C155" i="5" s="1"/>
  <c r="O155" i="5" s="1"/>
  <c r="P155" i="5" s="1"/>
  <c r="F155" i="5" s="1"/>
  <c r="N155" i="5" s="1"/>
  <c r="B155" i="5" s="1"/>
  <c r="H430" i="2"/>
  <c r="F430" i="2"/>
  <c r="C430" i="2"/>
  <c r="M429" i="2"/>
  <c r="C154" i="5" s="1"/>
  <c r="O154" i="5" s="1"/>
  <c r="P154" i="5" s="1"/>
  <c r="F154" i="5" s="1"/>
  <c r="N154" i="5" s="1"/>
  <c r="B154" i="5" s="1"/>
  <c r="H429" i="2"/>
  <c r="F429" i="2"/>
  <c r="C429" i="2"/>
  <c r="M428" i="2"/>
  <c r="C153" i="5" s="1"/>
  <c r="O153" i="5" s="1"/>
  <c r="P153" i="5" s="1"/>
  <c r="F153" i="5" s="1"/>
  <c r="N153" i="5" s="1"/>
  <c r="B153" i="5" s="1"/>
  <c r="H428" i="2"/>
  <c r="F428" i="2"/>
  <c r="C428" i="2"/>
  <c r="M427" i="2"/>
  <c r="C152" i="5" s="1"/>
  <c r="O152" i="5" s="1"/>
  <c r="P152" i="5" s="1"/>
  <c r="F152" i="5" s="1"/>
  <c r="N152" i="5" s="1"/>
  <c r="B152" i="5" s="1"/>
  <c r="H427" i="2"/>
  <c r="F427" i="2"/>
  <c r="C427" i="2"/>
  <c r="M426" i="2"/>
  <c r="C151" i="5" s="1"/>
  <c r="O151" i="5" s="1"/>
  <c r="P151" i="5" s="1"/>
  <c r="F151" i="5" s="1"/>
  <c r="N151" i="5" s="1"/>
  <c r="B151" i="5" s="1"/>
  <c r="H426" i="2"/>
  <c r="F426" i="2"/>
  <c r="C426" i="2"/>
  <c r="M425" i="2"/>
  <c r="C150" i="5" s="1"/>
  <c r="O150" i="5" s="1"/>
  <c r="P150" i="5" s="1"/>
  <c r="F150" i="5" s="1"/>
  <c r="N150" i="5" s="1"/>
  <c r="B150" i="5" s="1"/>
  <c r="H425" i="2"/>
  <c r="F425" i="2"/>
  <c r="C425" i="2"/>
  <c r="M424" i="2"/>
  <c r="C149" i="5" s="1"/>
  <c r="O149" i="5" s="1"/>
  <c r="P149" i="5" s="1"/>
  <c r="F149" i="5" s="1"/>
  <c r="N149" i="5" s="1"/>
  <c r="B149" i="5" s="1"/>
  <c r="H424" i="2"/>
  <c r="F424" i="2"/>
  <c r="C424" i="2"/>
  <c r="M423" i="2"/>
  <c r="C148" i="5" s="1"/>
  <c r="O148" i="5" s="1"/>
  <c r="P148" i="5" s="1"/>
  <c r="F148" i="5" s="1"/>
  <c r="N148" i="5" s="1"/>
  <c r="B148" i="5" s="1"/>
  <c r="H423" i="2"/>
  <c r="F423" i="2"/>
  <c r="C423" i="2"/>
  <c r="M422" i="2"/>
  <c r="C147" i="5" s="1"/>
  <c r="O147" i="5" s="1"/>
  <c r="P147" i="5" s="1"/>
  <c r="F147" i="5" s="1"/>
  <c r="N147" i="5" s="1"/>
  <c r="B147" i="5" s="1"/>
  <c r="H422" i="2"/>
  <c r="F422" i="2"/>
  <c r="C422" i="2"/>
  <c r="M421" i="2"/>
  <c r="C146" i="5" s="1"/>
  <c r="O146" i="5" s="1"/>
  <c r="P146" i="5" s="1"/>
  <c r="F146" i="5" s="1"/>
  <c r="N146" i="5" s="1"/>
  <c r="B146" i="5" s="1"/>
  <c r="H421" i="2"/>
  <c r="F421" i="2"/>
  <c r="C421" i="2"/>
  <c r="M420" i="2"/>
  <c r="C145" i="5" s="1"/>
  <c r="O145" i="5" s="1"/>
  <c r="P145" i="5" s="1"/>
  <c r="F145" i="5" s="1"/>
  <c r="N145" i="5" s="1"/>
  <c r="B145" i="5" s="1"/>
  <c r="H420" i="2"/>
  <c r="F420" i="2"/>
  <c r="C420" i="2"/>
  <c r="M419" i="2"/>
  <c r="C144" i="5" s="1"/>
  <c r="O144" i="5" s="1"/>
  <c r="P144" i="5" s="1"/>
  <c r="F144" i="5" s="1"/>
  <c r="N144" i="5" s="1"/>
  <c r="B144" i="5" s="1"/>
  <c r="H419" i="2"/>
  <c r="F419" i="2"/>
  <c r="C419" i="2"/>
  <c r="M418" i="2"/>
  <c r="C143" i="5" s="1"/>
  <c r="O143" i="5" s="1"/>
  <c r="P143" i="5" s="1"/>
  <c r="F143" i="5" s="1"/>
  <c r="N143" i="5" s="1"/>
  <c r="B143" i="5" s="1"/>
  <c r="H418" i="2"/>
  <c r="F418" i="2"/>
  <c r="C418" i="2"/>
  <c r="M417" i="2"/>
  <c r="C142" i="5" s="1"/>
  <c r="O142" i="5" s="1"/>
  <c r="P142" i="5" s="1"/>
  <c r="F142" i="5" s="1"/>
  <c r="N142" i="5" s="1"/>
  <c r="B142" i="5" s="1"/>
  <c r="H417" i="2"/>
  <c r="F417" i="2"/>
  <c r="C417" i="2"/>
  <c r="M416" i="2"/>
  <c r="C141" i="5" s="1"/>
  <c r="O141" i="5" s="1"/>
  <c r="P141" i="5" s="1"/>
  <c r="F141" i="5" s="1"/>
  <c r="N141" i="5" s="1"/>
  <c r="B141" i="5" s="1"/>
  <c r="H416" i="2"/>
  <c r="F416" i="2"/>
  <c r="C416" i="2"/>
  <c r="M415" i="2"/>
  <c r="C140" i="5" s="1"/>
  <c r="O140" i="5" s="1"/>
  <c r="P140" i="5" s="1"/>
  <c r="F140" i="5" s="1"/>
  <c r="N140" i="5" s="1"/>
  <c r="B140" i="5" s="1"/>
  <c r="H415" i="2"/>
  <c r="F415" i="2"/>
  <c r="C415" i="2"/>
  <c r="M414" i="2"/>
  <c r="C139" i="5" s="1"/>
  <c r="O139" i="5" s="1"/>
  <c r="P139" i="5" s="1"/>
  <c r="F139" i="5" s="1"/>
  <c r="N139" i="5" s="1"/>
  <c r="B139" i="5" s="1"/>
  <c r="H414" i="2"/>
  <c r="F414" i="2"/>
  <c r="C414" i="2"/>
  <c r="M413" i="2"/>
  <c r="C138" i="5" s="1"/>
  <c r="O138" i="5" s="1"/>
  <c r="P138" i="5" s="1"/>
  <c r="F138" i="5" s="1"/>
  <c r="N138" i="5" s="1"/>
  <c r="B138" i="5" s="1"/>
  <c r="H413" i="2"/>
  <c r="F413" i="2"/>
  <c r="C413" i="2"/>
  <c r="M412" i="2"/>
  <c r="C137" i="5" s="1"/>
  <c r="O137" i="5" s="1"/>
  <c r="P137" i="5" s="1"/>
  <c r="F137" i="5" s="1"/>
  <c r="N137" i="5" s="1"/>
  <c r="B137" i="5" s="1"/>
  <c r="H412" i="2"/>
  <c r="F316" i="5" s="1"/>
  <c r="N316" i="5" s="1"/>
  <c r="B316" i="5" s="1"/>
  <c r="F412" i="2"/>
  <c r="C412" i="2"/>
  <c r="M411" i="2"/>
  <c r="C136" i="5" s="1"/>
  <c r="O136" i="5" s="1"/>
  <c r="P136" i="5" s="1"/>
  <c r="F136" i="5" s="1"/>
  <c r="N136" i="5" s="1"/>
  <c r="B136" i="5" s="1"/>
  <c r="H411" i="2"/>
  <c r="F411" i="2"/>
  <c r="C411" i="2"/>
  <c r="H410" i="2"/>
  <c r="F410" i="2"/>
  <c r="C410" i="2"/>
  <c r="H409" i="2"/>
  <c r="F409" i="2"/>
  <c r="C409" i="2"/>
  <c r="H408" i="2"/>
  <c r="F408" i="2"/>
  <c r="C408" i="2"/>
  <c r="H407" i="2"/>
  <c r="F407" i="2"/>
  <c r="C407" i="2"/>
  <c r="H406" i="2"/>
  <c r="F310" i="5" s="1"/>
  <c r="N310" i="5" s="1"/>
  <c r="B310" i="5" s="1"/>
  <c r="F406" i="2"/>
  <c r="C406" i="2"/>
  <c r="H405" i="2"/>
  <c r="F405" i="2"/>
  <c r="C405" i="2"/>
  <c r="H404" i="2"/>
  <c r="F404" i="2"/>
  <c r="C404" i="2"/>
  <c r="H403" i="2"/>
  <c r="F403" i="2"/>
  <c r="C403" i="2"/>
  <c r="H402" i="2"/>
  <c r="F402" i="2"/>
  <c r="C402" i="2"/>
  <c r="H401" i="2"/>
  <c r="F401" i="2"/>
  <c r="C401" i="2"/>
  <c r="H400" i="2"/>
  <c r="F400" i="2"/>
  <c r="C400" i="2"/>
  <c r="H399" i="2"/>
  <c r="F399" i="2"/>
  <c r="C399" i="2"/>
  <c r="M398" i="2"/>
  <c r="C135" i="5" s="1"/>
  <c r="O135" i="5" s="1"/>
  <c r="P135" i="5" s="1"/>
  <c r="F135" i="5" s="1"/>
  <c r="N135" i="5" s="1"/>
  <c r="B135" i="5" s="1"/>
  <c r="H398" i="2"/>
  <c r="F302" i="5" s="1"/>
  <c r="N302" i="5" s="1"/>
  <c r="B302" i="5" s="1"/>
  <c r="F398" i="2"/>
  <c r="C398" i="2"/>
  <c r="M397" i="2"/>
  <c r="C134" i="5" s="1"/>
  <c r="O134" i="5" s="1"/>
  <c r="P134" i="5" s="1"/>
  <c r="F134" i="5" s="1"/>
  <c r="N134" i="5" s="1"/>
  <c r="B134" i="5" s="1"/>
  <c r="H397" i="2"/>
  <c r="F397" i="2"/>
  <c r="C397" i="2"/>
  <c r="M396" i="2"/>
  <c r="C133" i="5" s="1"/>
  <c r="O133" i="5" s="1"/>
  <c r="P133" i="5" s="1"/>
  <c r="F133" i="5" s="1"/>
  <c r="N133" i="5" s="1"/>
  <c r="B133" i="5" s="1"/>
  <c r="H396" i="2"/>
  <c r="F396" i="2"/>
  <c r="C396" i="2"/>
  <c r="M395" i="2"/>
  <c r="C132" i="5" s="1"/>
  <c r="O132" i="5" s="1"/>
  <c r="P132" i="5" s="1"/>
  <c r="F132" i="5" s="1"/>
  <c r="N132" i="5" s="1"/>
  <c r="B132" i="5" s="1"/>
  <c r="H395" i="2"/>
  <c r="F395" i="2"/>
  <c r="C395" i="2"/>
  <c r="M394" i="2"/>
  <c r="C131" i="5" s="1"/>
  <c r="O131" i="5" s="1"/>
  <c r="P131" i="5" s="1"/>
  <c r="F131" i="5" s="1"/>
  <c r="N131" i="5" s="1"/>
  <c r="B131" i="5" s="1"/>
  <c r="H394" i="2"/>
  <c r="F394" i="2"/>
  <c r="C394" i="2"/>
  <c r="M393" i="2"/>
  <c r="C130" i="5" s="1"/>
  <c r="O130" i="5" s="1"/>
  <c r="P130" i="5" s="1"/>
  <c r="F130" i="5" s="1"/>
  <c r="N130" i="5" s="1"/>
  <c r="B130" i="5" s="1"/>
  <c r="H393" i="2"/>
  <c r="F393" i="2"/>
  <c r="C393" i="2"/>
  <c r="M392" i="2"/>
  <c r="C129" i="5" s="1"/>
  <c r="O129" i="5" s="1"/>
  <c r="P129" i="5" s="1"/>
  <c r="F129" i="5" s="1"/>
  <c r="N129" i="5" s="1"/>
  <c r="B129" i="5" s="1"/>
  <c r="H392" i="2"/>
  <c r="F296" i="5" s="1"/>
  <c r="N296" i="5" s="1"/>
  <c r="B296" i="5" s="1"/>
  <c r="F392" i="2"/>
  <c r="C392" i="2"/>
  <c r="M391" i="2"/>
  <c r="C128" i="5" s="1"/>
  <c r="O128" i="5" s="1"/>
  <c r="P128" i="5" s="1"/>
  <c r="F128" i="5" s="1"/>
  <c r="N128" i="5" s="1"/>
  <c r="B128" i="5" s="1"/>
  <c r="H391" i="2"/>
  <c r="F391" i="2"/>
  <c r="C391" i="2"/>
  <c r="M390" i="2"/>
  <c r="C127" i="5" s="1"/>
  <c r="O127" i="5" s="1"/>
  <c r="P127" i="5" s="1"/>
  <c r="F127" i="5" s="1"/>
  <c r="N127" i="5" s="1"/>
  <c r="B127" i="5" s="1"/>
  <c r="H390" i="2"/>
  <c r="F390" i="2"/>
  <c r="C390" i="2"/>
  <c r="M389" i="2"/>
  <c r="C126" i="5" s="1"/>
  <c r="O126" i="5" s="1"/>
  <c r="P126" i="5" s="1"/>
  <c r="F126" i="5" s="1"/>
  <c r="N126" i="5" s="1"/>
  <c r="B126" i="5" s="1"/>
  <c r="H389" i="2"/>
  <c r="F389" i="2"/>
  <c r="C389" i="2"/>
  <c r="M388" i="2"/>
  <c r="C125" i="5" s="1"/>
  <c r="O125" i="5" s="1"/>
  <c r="P125" i="5" s="1"/>
  <c r="F125" i="5" s="1"/>
  <c r="N125" i="5" s="1"/>
  <c r="B125" i="5" s="1"/>
  <c r="H388" i="2"/>
  <c r="F292" i="5" s="1"/>
  <c r="N292" i="5" s="1"/>
  <c r="B292" i="5" s="1"/>
  <c r="F388" i="2"/>
  <c r="C388" i="2"/>
  <c r="M387" i="2"/>
  <c r="C124" i="5" s="1"/>
  <c r="O124" i="5" s="1"/>
  <c r="P124" i="5" s="1"/>
  <c r="F124" i="5" s="1"/>
  <c r="N124" i="5" s="1"/>
  <c r="B124" i="5" s="1"/>
  <c r="H387" i="2"/>
  <c r="F387" i="2"/>
  <c r="C387" i="2"/>
  <c r="M386" i="2"/>
  <c r="C123" i="5" s="1"/>
  <c r="O123" i="5" s="1"/>
  <c r="P123" i="5" s="1"/>
  <c r="F123" i="5" s="1"/>
  <c r="N123" i="5" s="1"/>
  <c r="B123" i="5" s="1"/>
  <c r="H386" i="2"/>
  <c r="F386" i="2"/>
  <c r="C386" i="2"/>
  <c r="M385" i="2"/>
  <c r="C122" i="5" s="1"/>
  <c r="O122" i="5" s="1"/>
  <c r="P122" i="5" s="1"/>
  <c r="F122" i="5" s="1"/>
  <c r="N122" i="5" s="1"/>
  <c r="B122" i="5" s="1"/>
  <c r="H385" i="2"/>
  <c r="F385" i="2"/>
  <c r="C385" i="2"/>
  <c r="M384" i="2"/>
  <c r="C121" i="5" s="1"/>
  <c r="O121" i="5" s="1"/>
  <c r="P121" i="5" s="1"/>
  <c r="F121" i="5" s="1"/>
  <c r="N121" i="5" s="1"/>
  <c r="B121" i="5" s="1"/>
  <c r="H384" i="2"/>
  <c r="F384" i="2"/>
  <c r="C384" i="2"/>
  <c r="M383" i="2"/>
  <c r="C120" i="5" s="1"/>
  <c r="O120" i="5" s="1"/>
  <c r="P120" i="5" s="1"/>
  <c r="F120" i="5" s="1"/>
  <c r="N120" i="5" s="1"/>
  <c r="B120" i="5" s="1"/>
  <c r="H383" i="2"/>
  <c r="F383" i="2"/>
  <c r="C383" i="2"/>
  <c r="M382" i="2"/>
  <c r="C119" i="5" s="1"/>
  <c r="O119" i="5" s="1"/>
  <c r="P119" i="5" s="1"/>
  <c r="F119" i="5" s="1"/>
  <c r="N119" i="5" s="1"/>
  <c r="B119" i="5" s="1"/>
  <c r="H382" i="2"/>
  <c r="F382" i="2"/>
  <c r="C382" i="2"/>
  <c r="M381" i="2"/>
  <c r="C118" i="5" s="1"/>
  <c r="O118" i="5" s="1"/>
  <c r="P118" i="5" s="1"/>
  <c r="F118" i="5" s="1"/>
  <c r="N118" i="5" s="1"/>
  <c r="B118" i="5" s="1"/>
  <c r="H381" i="2"/>
  <c r="F381" i="2"/>
  <c r="C381" i="2"/>
  <c r="M380" i="2"/>
  <c r="C117" i="5" s="1"/>
  <c r="O117" i="5" s="1"/>
  <c r="P117" i="5" s="1"/>
  <c r="F117" i="5" s="1"/>
  <c r="N117" i="5" s="1"/>
  <c r="B117" i="5" s="1"/>
  <c r="H380" i="2"/>
  <c r="F380" i="2"/>
  <c r="C380" i="2"/>
  <c r="M379" i="2"/>
  <c r="C116" i="5" s="1"/>
  <c r="O116" i="5" s="1"/>
  <c r="P116" i="5" s="1"/>
  <c r="F116" i="5" s="1"/>
  <c r="N116" i="5" s="1"/>
  <c r="B116" i="5" s="1"/>
  <c r="H379" i="2"/>
  <c r="F379" i="2"/>
  <c r="C379" i="2"/>
  <c r="M378" i="2"/>
  <c r="C115" i="5" s="1"/>
  <c r="O115" i="5" s="1"/>
  <c r="P115" i="5" s="1"/>
  <c r="F115" i="5" s="1"/>
  <c r="N115" i="5" s="1"/>
  <c r="B115" i="5" s="1"/>
  <c r="H378" i="2"/>
  <c r="F378" i="2"/>
  <c r="C378" i="2"/>
  <c r="M377" i="2"/>
  <c r="C114" i="5" s="1"/>
  <c r="O114" i="5" s="1"/>
  <c r="P114" i="5" s="1"/>
  <c r="F114" i="5" s="1"/>
  <c r="N114" i="5" s="1"/>
  <c r="B114" i="5" s="1"/>
  <c r="H377" i="2"/>
  <c r="F377" i="2"/>
  <c r="C377" i="2"/>
  <c r="H376" i="2"/>
  <c r="F376" i="2"/>
  <c r="C376" i="2"/>
  <c r="H375" i="2"/>
  <c r="F375" i="2"/>
  <c r="C375" i="2"/>
  <c r="H374" i="2"/>
  <c r="F374" i="2"/>
  <c r="C374" i="2"/>
  <c r="H373" i="2"/>
  <c r="F373" i="2"/>
  <c r="C373" i="2"/>
  <c r="H372" i="2"/>
  <c r="F372" i="2"/>
  <c r="C372" i="2"/>
  <c r="H371" i="2"/>
  <c r="F371" i="2"/>
  <c r="C371" i="2"/>
  <c r="H370" i="2"/>
  <c r="F370" i="2"/>
  <c r="C370" i="2"/>
  <c r="H369" i="2"/>
  <c r="F369" i="2"/>
  <c r="C369" i="2"/>
  <c r="H368" i="2"/>
  <c r="F368" i="2"/>
  <c r="C368" i="2"/>
  <c r="H367" i="2"/>
  <c r="F367" i="2"/>
  <c r="C367" i="2"/>
  <c r="H366" i="2"/>
  <c r="F366" i="2"/>
  <c r="C366" i="2"/>
  <c r="M365" i="2"/>
  <c r="C113" i="5" s="1"/>
  <c r="O113" i="5" s="1"/>
  <c r="P113" i="5" s="1"/>
  <c r="F113" i="5" s="1"/>
  <c r="N113" i="5" s="1"/>
  <c r="B113" i="5" s="1"/>
  <c r="H365" i="2"/>
  <c r="F365" i="2"/>
  <c r="C365" i="2"/>
  <c r="M364" i="2"/>
  <c r="C112" i="5" s="1"/>
  <c r="O112" i="5" s="1"/>
  <c r="P112" i="5" s="1"/>
  <c r="F112" i="5" s="1"/>
  <c r="N112" i="5" s="1"/>
  <c r="B112" i="5" s="1"/>
  <c r="H364" i="2"/>
  <c r="F364" i="2"/>
  <c r="C364" i="2"/>
  <c r="M363" i="2"/>
  <c r="C111" i="5" s="1"/>
  <c r="O111" i="5" s="1"/>
  <c r="P111" i="5" s="1"/>
  <c r="F111" i="5" s="1"/>
  <c r="N111" i="5" s="1"/>
  <c r="B111" i="5" s="1"/>
  <c r="H363" i="2"/>
  <c r="F363" i="2"/>
  <c r="C363" i="2"/>
  <c r="M362" i="2"/>
  <c r="C110" i="5" s="1"/>
  <c r="O110" i="5" s="1"/>
  <c r="P110" i="5" s="1"/>
  <c r="F110" i="5" s="1"/>
  <c r="N110" i="5" s="1"/>
  <c r="B110" i="5" s="1"/>
  <c r="H362" i="2"/>
  <c r="F362" i="2"/>
  <c r="C362" i="2"/>
  <c r="M361" i="2"/>
  <c r="C109" i="5" s="1"/>
  <c r="O109" i="5" s="1"/>
  <c r="P109" i="5" s="1"/>
  <c r="F109" i="5" s="1"/>
  <c r="N109" i="5" s="1"/>
  <c r="B109" i="5" s="1"/>
  <c r="H361" i="2"/>
  <c r="F361" i="2"/>
  <c r="C361" i="2"/>
  <c r="M360" i="2"/>
  <c r="C108" i="5" s="1"/>
  <c r="O108" i="5" s="1"/>
  <c r="P108" i="5" s="1"/>
  <c r="F108" i="5" s="1"/>
  <c r="N108" i="5" s="1"/>
  <c r="B108" i="5" s="1"/>
  <c r="H360" i="2"/>
  <c r="F360" i="2"/>
  <c r="C360" i="2"/>
  <c r="M359" i="2"/>
  <c r="C107" i="5" s="1"/>
  <c r="O107" i="5" s="1"/>
  <c r="P107" i="5" s="1"/>
  <c r="F107" i="5" s="1"/>
  <c r="N107" i="5" s="1"/>
  <c r="B107" i="5" s="1"/>
  <c r="H359" i="2"/>
  <c r="F359" i="2"/>
  <c r="C359" i="2"/>
  <c r="M358" i="2"/>
  <c r="C106" i="5" s="1"/>
  <c r="O106" i="5" s="1"/>
  <c r="P106" i="5" s="1"/>
  <c r="F106" i="5" s="1"/>
  <c r="N106" i="5" s="1"/>
  <c r="B106" i="5" s="1"/>
  <c r="H358" i="2"/>
  <c r="F358" i="2"/>
  <c r="C358" i="2"/>
  <c r="M357" i="2"/>
  <c r="C105" i="5" s="1"/>
  <c r="O105" i="5" s="1"/>
  <c r="P105" i="5" s="1"/>
  <c r="F105" i="5" s="1"/>
  <c r="N105" i="5" s="1"/>
  <c r="B105" i="5" s="1"/>
  <c r="H357" i="2"/>
  <c r="F357" i="2"/>
  <c r="C357" i="2"/>
  <c r="M356" i="2"/>
  <c r="C104" i="5" s="1"/>
  <c r="O104" i="5" s="1"/>
  <c r="P104" i="5" s="1"/>
  <c r="F104" i="5" s="1"/>
  <c r="N104" i="5" s="1"/>
  <c r="B104" i="5" s="1"/>
  <c r="H356" i="2"/>
  <c r="F356" i="2"/>
  <c r="C356" i="2"/>
  <c r="M355" i="2"/>
  <c r="C103" i="5" s="1"/>
  <c r="O103" i="5" s="1"/>
  <c r="P103" i="5" s="1"/>
  <c r="F103" i="5" s="1"/>
  <c r="N103" i="5" s="1"/>
  <c r="B103" i="5" s="1"/>
  <c r="H355" i="2"/>
  <c r="F355" i="2"/>
  <c r="C355" i="2"/>
  <c r="M354" i="2"/>
  <c r="C102" i="5" s="1"/>
  <c r="O102" i="5" s="1"/>
  <c r="P102" i="5" s="1"/>
  <c r="F102" i="5" s="1"/>
  <c r="N102" i="5" s="1"/>
  <c r="B102" i="5" s="1"/>
  <c r="H354" i="2"/>
  <c r="F354" i="2"/>
  <c r="C354" i="2"/>
  <c r="M353" i="2"/>
  <c r="C101" i="5" s="1"/>
  <c r="O101" i="5" s="1"/>
  <c r="P101" i="5" s="1"/>
  <c r="F101" i="5" s="1"/>
  <c r="N101" i="5" s="1"/>
  <c r="B101" i="5" s="1"/>
  <c r="H353" i="2"/>
  <c r="F353" i="2"/>
  <c r="C353" i="2"/>
  <c r="M352" i="2"/>
  <c r="C100" i="5" s="1"/>
  <c r="O100" i="5" s="1"/>
  <c r="P100" i="5" s="1"/>
  <c r="F100" i="5" s="1"/>
  <c r="N100" i="5" s="1"/>
  <c r="B100" i="5" s="1"/>
  <c r="H352" i="2"/>
  <c r="F352" i="2"/>
  <c r="C352" i="2"/>
  <c r="M351" i="2"/>
  <c r="C99" i="5" s="1"/>
  <c r="O99" i="5" s="1"/>
  <c r="P99" i="5" s="1"/>
  <c r="F99" i="5" s="1"/>
  <c r="N99" i="5" s="1"/>
  <c r="B99" i="5" s="1"/>
  <c r="H351" i="2"/>
  <c r="F351" i="2"/>
  <c r="C351" i="2"/>
  <c r="M350" i="2"/>
  <c r="C98" i="5" s="1"/>
  <c r="O98" i="5" s="1"/>
  <c r="P98" i="5" s="1"/>
  <c r="F98" i="5" s="1"/>
  <c r="N98" i="5" s="1"/>
  <c r="B98" i="5" s="1"/>
  <c r="H350" i="2"/>
  <c r="F350" i="2"/>
  <c r="C350" i="2"/>
  <c r="M349" i="2"/>
  <c r="C97" i="5" s="1"/>
  <c r="O97" i="5" s="1"/>
  <c r="P97" i="5" s="1"/>
  <c r="F97" i="5" s="1"/>
  <c r="N97" i="5" s="1"/>
  <c r="B97" i="5" s="1"/>
  <c r="H349" i="2"/>
  <c r="F349" i="2"/>
  <c r="C349" i="2"/>
  <c r="M348" i="2"/>
  <c r="C96" i="5" s="1"/>
  <c r="O96" i="5" s="1"/>
  <c r="P96" i="5" s="1"/>
  <c r="F96" i="5" s="1"/>
  <c r="N96" i="5" s="1"/>
  <c r="B96" i="5" s="1"/>
  <c r="H348" i="2"/>
  <c r="F348" i="2"/>
  <c r="C348" i="2"/>
  <c r="H347" i="2"/>
  <c r="F347" i="2"/>
  <c r="C347" i="2"/>
  <c r="H346" i="2"/>
  <c r="F346" i="2"/>
  <c r="C346" i="2"/>
  <c r="H345" i="2"/>
  <c r="F345" i="2"/>
  <c r="C345" i="2"/>
  <c r="H344" i="2"/>
  <c r="F344" i="2"/>
  <c r="C344" i="2"/>
  <c r="H343" i="2"/>
  <c r="F343" i="2"/>
  <c r="C343" i="2"/>
  <c r="H342" i="2"/>
  <c r="F246" i="5" s="1"/>
  <c r="N246" i="5" s="1"/>
  <c r="B246" i="5" s="1"/>
  <c r="F342" i="2"/>
  <c r="C342" i="2"/>
  <c r="H341" i="2"/>
  <c r="F341" i="2"/>
  <c r="C341" i="2"/>
  <c r="H340" i="2"/>
  <c r="F340" i="2"/>
  <c r="C340" i="2"/>
  <c r="M339" i="2"/>
  <c r="C95" i="5" s="1"/>
  <c r="O95" i="5" s="1"/>
  <c r="P95" i="5" s="1"/>
  <c r="F95" i="5" s="1"/>
  <c r="N95" i="5" s="1"/>
  <c r="B95" i="5" s="1"/>
  <c r="H339" i="2"/>
  <c r="F339" i="2"/>
  <c r="C339" i="2"/>
  <c r="M338" i="2"/>
  <c r="C94" i="5" s="1"/>
  <c r="O94" i="5" s="1"/>
  <c r="P94" i="5" s="1"/>
  <c r="F94" i="5" s="1"/>
  <c r="N94" i="5" s="1"/>
  <c r="B94" i="5" s="1"/>
  <c r="H338" i="2"/>
  <c r="F338" i="2"/>
  <c r="C338" i="2"/>
  <c r="M337" i="2"/>
  <c r="C93" i="5" s="1"/>
  <c r="O93" i="5" s="1"/>
  <c r="P93" i="5" s="1"/>
  <c r="F93" i="5" s="1"/>
  <c r="N93" i="5" s="1"/>
  <c r="B93" i="5" s="1"/>
  <c r="H337" i="2"/>
  <c r="F337" i="2"/>
  <c r="C337" i="2"/>
  <c r="M336" i="2"/>
  <c r="C92" i="5" s="1"/>
  <c r="O92" i="5" s="1"/>
  <c r="P92" i="5" s="1"/>
  <c r="F92" i="5" s="1"/>
  <c r="N92" i="5" s="1"/>
  <c r="B92" i="5" s="1"/>
  <c r="H336" i="2"/>
  <c r="F336" i="2"/>
  <c r="C336" i="2"/>
  <c r="M335" i="2"/>
  <c r="C91" i="5" s="1"/>
  <c r="O91" i="5" s="1"/>
  <c r="P91" i="5" s="1"/>
  <c r="F91" i="5" s="1"/>
  <c r="N91" i="5" s="1"/>
  <c r="B91" i="5" s="1"/>
  <c r="H335" i="2"/>
  <c r="F335" i="2"/>
  <c r="C335" i="2"/>
  <c r="M334" i="2"/>
  <c r="C90" i="5" s="1"/>
  <c r="O90" i="5" s="1"/>
  <c r="P90" i="5" s="1"/>
  <c r="F90" i="5" s="1"/>
  <c r="N90" i="5" s="1"/>
  <c r="B90" i="5" s="1"/>
  <c r="H334" i="2"/>
  <c r="F334" i="2"/>
  <c r="C334" i="2"/>
  <c r="M333" i="2"/>
  <c r="C89" i="5" s="1"/>
  <c r="O89" i="5" s="1"/>
  <c r="P89" i="5" s="1"/>
  <c r="F89" i="5" s="1"/>
  <c r="N89" i="5" s="1"/>
  <c r="B89" i="5" s="1"/>
  <c r="H333" i="2"/>
  <c r="F333" i="2"/>
  <c r="C333" i="2"/>
  <c r="M332" i="2"/>
  <c r="C88" i="5" s="1"/>
  <c r="O88" i="5" s="1"/>
  <c r="P88" i="5" s="1"/>
  <c r="F88" i="5" s="1"/>
  <c r="N88" i="5" s="1"/>
  <c r="B88" i="5" s="1"/>
  <c r="H332" i="2"/>
  <c r="F332" i="2"/>
  <c r="C332" i="2"/>
  <c r="M331" i="2"/>
  <c r="C87" i="5" s="1"/>
  <c r="O87" i="5" s="1"/>
  <c r="P87" i="5" s="1"/>
  <c r="F87" i="5" s="1"/>
  <c r="N87" i="5" s="1"/>
  <c r="B87" i="5" s="1"/>
  <c r="H331" i="2"/>
  <c r="F331" i="2"/>
  <c r="C331" i="2"/>
  <c r="M330" i="2"/>
  <c r="C86" i="5" s="1"/>
  <c r="O86" i="5" s="1"/>
  <c r="P86" i="5" s="1"/>
  <c r="F86" i="5" s="1"/>
  <c r="N86" i="5" s="1"/>
  <c r="B86" i="5" s="1"/>
  <c r="H330" i="2"/>
  <c r="F234" i="5" s="1"/>
  <c r="N234" i="5" s="1"/>
  <c r="B234" i="5" s="1"/>
  <c r="F330" i="2"/>
  <c r="C330" i="2"/>
  <c r="M329" i="2"/>
  <c r="C85" i="5" s="1"/>
  <c r="O85" i="5" s="1"/>
  <c r="P85" i="5" s="1"/>
  <c r="F85" i="5" s="1"/>
  <c r="N85" i="5" s="1"/>
  <c r="B85" i="5" s="1"/>
  <c r="H329" i="2"/>
  <c r="F329" i="2"/>
  <c r="C329" i="2"/>
  <c r="M328" i="2"/>
  <c r="C84" i="5" s="1"/>
  <c r="O84" i="5" s="1"/>
  <c r="P84" i="5" s="1"/>
  <c r="F84" i="5" s="1"/>
  <c r="N84" i="5" s="1"/>
  <c r="B84" i="5" s="1"/>
  <c r="H328" i="2"/>
  <c r="F232" i="5" s="1"/>
  <c r="N232" i="5" s="1"/>
  <c r="B232" i="5" s="1"/>
  <c r="F328" i="2"/>
  <c r="C328" i="2"/>
  <c r="M327" i="2"/>
  <c r="C83" i="5" s="1"/>
  <c r="O83" i="5" s="1"/>
  <c r="P83" i="5" s="1"/>
  <c r="F83" i="5" s="1"/>
  <c r="N83" i="5" s="1"/>
  <c r="B83" i="5" s="1"/>
  <c r="H327" i="2"/>
  <c r="F327" i="2"/>
  <c r="C327" i="2"/>
  <c r="M326" i="2"/>
  <c r="C82" i="5" s="1"/>
  <c r="O82" i="5" s="1"/>
  <c r="P82" i="5" s="1"/>
  <c r="F82" i="5" s="1"/>
  <c r="N82" i="5" s="1"/>
  <c r="B82" i="5" s="1"/>
  <c r="H326" i="2"/>
  <c r="F326" i="2"/>
  <c r="C326" i="2"/>
  <c r="M325" i="2"/>
  <c r="C81" i="5" s="1"/>
  <c r="O81" i="5" s="1"/>
  <c r="P81" i="5" s="1"/>
  <c r="F81" i="5" s="1"/>
  <c r="N81" i="5" s="1"/>
  <c r="B81" i="5" s="1"/>
  <c r="H325" i="2"/>
  <c r="F325" i="2"/>
  <c r="C325" i="2"/>
  <c r="M324" i="2"/>
  <c r="C80" i="5" s="1"/>
  <c r="O80" i="5" s="1"/>
  <c r="P80" i="5" s="1"/>
  <c r="F80" i="5" s="1"/>
  <c r="N80" i="5" s="1"/>
  <c r="B80" i="5" s="1"/>
  <c r="H324" i="2"/>
  <c r="F324" i="2"/>
  <c r="C324" i="2"/>
  <c r="M323" i="2"/>
  <c r="C79" i="5" s="1"/>
  <c r="O79" i="5" s="1"/>
  <c r="P79" i="5" s="1"/>
  <c r="F79" i="5" s="1"/>
  <c r="N79" i="5" s="1"/>
  <c r="B79" i="5" s="1"/>
  <c r="H323" i="2"/>
  <c r="F323" i="2"/>
  <c r="C323" i="2"/>
  <c r="M322" i="2"/>
  <c r="C78" i="5" s="1"/>
  <c r="O78" i="5" s="1"/>
  <c r="P78" i="5" s="1"/>
  <c r="F78" i="5" s="1"/>
  <c r="N78" i="5" s="1"/>
  <c r="B78" i="5" s="1"/>
  <c r="H322" i="2"/>
  <c r="F322" i="2"/>
  <c r="C322" i="2"/>
  <c r="H321" i="2"/>
  <c r="F321" i="2"/>
  <c r="C321" i="2"/>
  <c r="H320" i="2"/>
  <c r="F224" i="5" s="1"/>
  <c r="N224" i="5" s="1"/>
  <c r="B224" i="5" s="1"/>
  <c r="F320" i="2"/>
  <c r="C320" i="2"/>
  <c r="H319" i="2"/>
  <c r="F319" i="2"/>
  <c r="C319" i="2"/>
  <c r="H318" i="2"/>
  <c r="F222" i="5" s="1"/>
  <c r="N222" i="5" s="1"/>
  <c r="B222" i="5" s="1"/>
  <c r="F318" i="2"/>
  <c r="C318" i="2"/>
  <c r="H317" i="2"/>
  <c r="F317" i="2"/>
  <c r="C317" i="2"/>
  <c r="H316" i="2"/>
  <c r="F220" i="5" s="1"/>
  <c r="N220" i="5" s="1"/>
  <c r="B220" i="5" s="1"/>
  <c r="F316" i="2"/>
  <c r="C316" i="2"/>
  <c r="M315" i="2"/>
  <c r="C77" i="5" s="1"/>
  <c r="O77" i="5" s="1"/>
  <c r="P77" i="5" s="1"/>
  <c r="F77" i="5" s="1"/>
  <c r="N77" i="5" s="1"/>
  <c r="B77" i="5" s="1"/>
  <c r="H315" i="2"/>
  <c r="F315" i="2"/>
  <c r="C315" i="2"/>
  <c r="M314" i="2"/>
  <c r="C76" i="5" s="1"/>
  <c r="O76" i="5" s="1"/>
  <c r="P76" i="5" s="1"/>
  <c r="F76" i="5" s="1"/>
  <c r="N76" i="5" s="1"/>
  <c r="B76" i="5" s="1"/>
  <c r="H314" i="2"/>
  <c r="F314" i="2"/>
  <c r="C314" i="2"/>
  <c r="M313" i="2"/>
  <c r="C75" i="5" s="1"/>
  <c r="O75" i="5" s="1"/>
  <c r="P75" i="5" s="1"/>
  <c r="F75" i="5" s="1"/>
  <c r="N75" i="5" s="1"/>
  <c r="B75" i="5" s="1"/>
  <c r="H313" i="2"/>
  <c r="F313" i="2"/>
  <c r="C313" i="2"/>
  <c r="M312" i="2"/>
  <c r="C74" i="5" s="1"/>
  <c r="O74" i="5" s="1"/>
  <c r="P74" i="5" s="1"/>
  <c r="F74" i="5" s="1"/>
  <c r="N74" i="5" s="1"/>
  <c r="B74" i="5" s="1"/>
  <c r="H312" i="2"/>
  <c r="F312" i="2"/>
  <c r="C312" i="2"/>
  <c r="M311" i="2"/>
  <c r="C73" i="5" s="1"/>
  <c r="O73" i="5" s="1"/>
  <c r="P73" i="5" s="1"/>
  <c r="F73" i="5" s="1"/>
  <c r="N73" i="5" s="1"/>
  <c r="B73" i="5" s="1"/>
  <c r="H311" i="2"/>
  <c r="F311" i="2"/>
  <c r="C311" i="2"/>
  <c r="M310" i="2"/>
  <c r="C72" i="5" s="1"/>
  <c r="O72" i="5" s="1"/>
  <c r="P72" i="5" s="1"/>
  <c r="F72" i="5" s="1"/>
  <c r="N72" i="5" s="1"/>
  <c r="B72" i="5" s="1"/>
  <c r="H310" i="2"/>
  <c r="F310" i="2"/>
  <c r="C310" i="2"/>
  <c r="M309" i="2"/>
  <c r="C71" i="5" s="1"/>
  <c r="O71" i="5" s="1"/>
  <c r="P71" i="5" s="1"/>
  <c r="F71" i="5" s="1"/>
  <c r="N71" i="5" s="1"/>
  <c r="B71" i="5" s="1"/>
  <c r="H309" i="2"/>
  <c r="F309" i="2"/>
  <c r="C309" i="2"/>
  <c r="M308" i="2"/>
  <c r="C70" i="5" s="1"/>
  <c r="O70" i="5" s="1"/>
  <c r="P70" i="5" s="1"/>
  <c r="F70" i="5" s="1"/>
  <c r="N70" i="5" s="1"/>
  <c r="B70" i="5" s="1"/>
  <c r="H308" i="2"/>
  <c r="F212" i="5" s="1"/>
  <c r="N212" i="5" s="1"/>
  <c r="B212" i="5" s="1"/>
  <c r="F308" i="2"/>
  <c r="C308" i="2"/>
  <c r="M307" i="2"/>
  <c r="C69" i="5" s="1"/>
  <c r="O69" i="5" s="1"/>
  <c r="P69" i="5" s="1"/>
  <c r="F69" i="5" s="1"/>
  <c r="N69" i="5" s="1"/>
  <c r="B69" i="5" s="1"/>
  <c r="H307" i="2"/>
  <c r="F307" i="2"/>
  <c r="C307" i="2"/>
  <c r="M306" i="2"/>
  <c r="C68" i="5" s="1"/>
  <c r="O68" i="5" s="1"/>
  <c r="P68" i="5" s="1"/>
  <c r="F68" i="5" s="1"/>
  <c r="N68" i="5" s="1"/>
  <c r="B68" i="5" s="1"/>
  <c r="H306" i="2"/>
  <c r="F306" i="2"/>
  <c r="C306" i="2"/>
  <c r="M305" i="2"/>
  <c r="C67" i="5" s="1"/>
  <c r="O67" i="5" s="1"/>
  <c r="P67" i="5" s="1"/>
  <c r="F67" i="5" s="1"/>
  <c r="N67" i="5" s="1"/>
  <c r="B67" i="5" s="1"/>
  <c r="H305" i="2"/>
  <c r="F305" i="2"/>
  <c r="C305" i="2"/>
  <c r="M304" i="2"/>
  <c r="C66" i="5" s="1"/>
  <c r="O66" i="5" s="1"/>
  <c r="P66" i="5" s="1"/>
  <c r="F66" i="5" s="1"/>
  <c r="N66" i="5" s="1"/>
  <c r="B66" i="5" s="1"/>
  <c r="H304" i="2"/>
  <c r="F304" i="2"/>
  <c r="C304" i="2"/>
  <c r="M303" i="2"/>
  <c r="C65" i="5" s="1"/>
  <c r="O65" i="5" s="1"/>
  <c r="P65" i="5" s="1"/>
  <c r="F65" i="5" s="1"/>
  <c r="N65" i="5" s="1"/>
  <c r="B65" i="5" s="1"/>
  <c r="H303" i="2"/>
  <c r="F303" i="2"/>
  <c r="C303" i="2"/>
  <c r="M302" i="2"/>
  <c r="C64" i="5" s="1"/>
  <c r="O64" i="5" s="1"/>
  <c r="P64" i="5" s="1"/>
  <c r="F64" i="5" s="1"/>
  <c r="N64" i="5" s="1"/>
  <c r="B64" i="5" s="1"/>
  <c r="H302" i="2"/>
  <c r="F302" i="2"/>
  <c r="C302" i="2"/>
  <c r="M301" i="2"/>
  <c r="C63" i="5" s="1"/>
  <c r="O63" i="5" s="1"/>
  <c r="P63" i="5" s="1"/>
  <c r="F63" i="5" s="1"/>
  <c r="N63" i="5" s="1"/>
  <c r="B63" i="5" s="1"/>
  <c r="H301" i="2"/>
  <c r="F301" i="2"/>
  <c r="C301" i="2"/>
  <c r="H300" i="2"/>
  <c r="F300" i="2"/>
  <c r="C300" i="2"/>
  <c r="H299" i="2"/>
  <c r="F299" i="2"/>
  <c r="C299" i="2"/>
  <c r="H298" i="2"/>
  <c r="F298" i="2"/>
  <c r="C298" i="2"/>
  <c r="M297" i="2"/>
  <c r="C62" i="5" s="1"/>
  <c r="O62" i="5" s="1"/>
  <c r="P62" i="5" s="1"/>
  <c r="F62" i="5" s="1"/>
  <c r="N62" i="5" s="1"/>
  <c r="B62" i="5" s="1"/>
  <c r="H297" i="2"/>
  <c r="F297" i="2"/>
  <c r="C297" i="2"/>
  <c r="M296" i="2"/>
  <c r="C61" i="5" s="1"/>
  <c r="O61" i="5" s="1"/>
  <c r="P61" i="5" s="1"/>
  <c r="F61" i="5" s="1"/>
  <c r="N61" i="5" s="1"/>
  <c r="B61" i="5" s="1"/>
  <c r="H296" i="2"/>
  <c r="F296" i="2"/>
  <c r="C296" i="2"/>
  <c r="M295" i="2"/>
  <c r="C60" i="5" s="1"/>
  <c r="O60" i="5" s="1"/>
  <c r="P60" i="5" s="1"/>
  <c r="F60" i="5" s="1"/>
  <c r="N60" i="5" s="1"/>
  <c r="B60" i="5" s="1"/>
  <c r="H295" i="2"/>
  <c r="F295" i="2"/>
  <c r="C295" i="2"/>
  <c r="M294" i="2"/>
  <c r="C59" i="5" s="1"/>
  <c r="O59" i="5" s="1"/>
  <c r="P59" i="5" s="1"/>
  <c r="F59" i="5" s="1"/>
  <c r="N59" i="5" s="1"/>
  <c r="B59" i="5" s="1"/>
  <c r="H294" i="2"/>
  <c r="F198" i="5" s="1"/>
  <c r="N198" i="5" s="1"/>
  <c r="B198" i="5" s="1"/>
  <c r="F294" i="2"/>
  <c r="C294" i="2"/>
  <c r="M293" i="2"/>
  <c r="C58" i="5" s="1"/>
  <c r="O58" i="5" s="1"/>
  <c r="P58" i="5" s="1"/>
  <c r="F58" i="5" s="1"/>
  <c r="N58" i="5" s="1"/>
  <c r="B58" i="5" s="1"/>
  <c r="H293" i="2"/>
  <c r="F293" i="2"/>
  <c r="C293" i="2"/>
  <c r="M292" i="2"/>
  <c r="C57" i="5" s="1"/>
  <c r="O57" i="5" s="1"/>
  <c r="P57" i="5" s="1"/>
  <c r="F57" i="5" s="1"/>
  <c r="N57" i="5" s="1"/>
  <c r="B57" i="5" s="1"/>
  <c r="H292" i="2"/>
  <c r="F196" i="5" s="1"/>
  <c r="N196" i="5" s="1"/>
  <c r="B196" i="5" s="1"/>
  <c r="F292" i="2"/>
  <c r="C292" i="2"/>
  <c r="M291" i="2"/>
  <c r="C56" i="5" s="1"/>
  <c r="O56" i="5" s="1"/>
  <c r="P56" i="5" s="1"/>
  <c r="F56" i="5" s="1"/>
  <c r="N56" i="5" s="1"/>
  <c r="B56" i="5" s="1"/>
  <c r="H291" i="2"/>
  <c r="F291" i="2"/>
  <c r="C291" i="2"/>
  <c r="M290" i="2"/>
  <c r="C55" i="5" s="1"/>
  <c r="O55" i="5" s="1"/>
  <c r="P55" i="5" s="1"/>
  <c r="F55" i="5" s="1"/>
  <c r="N55" i="5" s="1"/>
  <c r="B55" i="5" s="1"/>
  <c r="H290" i="2"/>
  <c r="F290" i="2"/>
  <c r="C290" i="2"/>
  <c r="M289" i="2"/>
  <c r="C54" i="5" s="1"/>
  <c r="O54" i="5" s="1"/>
  <c r="P54" i="5" s="1"/>
  <c r="F54" i="5" s="1"/>
  <c r="N54" i="5" s="1"/>
  <c r="B54" i="5" s="1"/>
  <c r="H289" i="2"/>
  <c r="F289" i="2"/>
  <c r="C289" i="2"/>
  <c r="M288" i="2"/>
  <c r="C53" i="5" s="1"/>
  <c r="O53" i="5" s="1"/>
  <c r="P53" i="5" s="1"/>
  <c r="F53" i="5" s="1"/>
  <c r="N53" i="5" s="1"/>
  <c r="B53" i="5" s="1"/>
  <c r="H288" i="2"/>
  <c r="F288" i="2"/>
  <c r="C288" i="2"/>
  <c r="M287" i="2"/>
  <c r="C52" i="5" s="1"/>
  <c r="O52" i="5" s="1"/>
  <c r="P52" i="5" s="1"/>
  <c r="F52" i="5" s="1"/>
  <c r="N52" i="5" s="1"/>
  <c r="B52" i="5" s="1"/>
  <c r="H287" i="2"/>
  <c r="F287" i="2"/>
  <c r="C287" i="2"/>
  <c r="M286" i="2"/>
  <c r="C51" i="5" s="1"/>
  <c r="O51" i="5" s="1"/>
  <c r="P51" i="5" s="1"/>
  <c r="F51" i="5" s="1"/>
  <c r="N51" i="5" s="1"/>
  <c r="B51" i="5" s="1"/>
  <c r="H286" i="2"/>
  <c r="F286" i="2"/>
  <c r="C286" i="2"/>
  <c r="M285" i="2"/>
  <c r="C50" i="5" s="1"/>
  <c r="O50" i="5" s="1"/>
  <c r="P50" i="5" s="1"/>
  <c r="F50" i="5" s="1"/>
  <c r="N50" i="5" s="1"/>
  <c r="B50" i="5" s="1"/>
  <c r="H285" i="2"/>
  <c r="F285" i="2"/>
  <c r="C285" i="2"/>
  <c r="M284" i="2"/>
  <c r="C49" i="5" s="1"/>
  <c r="O49" i="5" s="1"/>
  <c r="P49" i="5" s="1"/>
  <c r="F49" i="5" s="1"/>
  <c r="N49" i="5" s="1"/>
  <c r="B49" i="5" s="1"/>
  <c r="H284" i="2"/>
  <c r="F284" i="2"/>
  <c r="C284" i="2"/>
  <c r="M283" i="2"/>
  <c r="C48" i="5" s="1"/>
  <c r="O48" i="5" s="1"/>
  <c r="P48" i="5" s="1"/>
  <c r="F48" i="5" s="1"/>
  <c r="N48" i="5" s="1"/>
  <c r="B48" i="5" s="1"/>
  <c r="H283" i="2"/>
  <c r="F283" i="2"/>
  <c r="C283" i="2"/>
  <c r="H282" i="2"/>
  <c r="F282" i="2"/>
  <c r="C282" i="2"/>
  <c r="H281" i="2"/>
  <c r="F281" i="2"/>
  <c r="C281" i="2"/>
  <c r="H280" i="2"/>
  <c r="F280" i="2"/>
  <c r="C280" i="2"/>
  <c r="H279" i="2"/>
  <c r="F183" i="5" s="1"/>
  <c r="N183" i="5" s="1"/>
  <c r="B183" i="5" s="1"/>
  <c r="F279" i="2"/>
  <c r="C279" i="2"/>
  <c r="M278" i="2"/>
  <c r="C47" i="5" s="1"/>
  <c r="O47" i="5" s="1"/>
  <c r="P47" i="5" s="1"/>
  <c r="F47" i="5" s="1"/>
  <c r="N47" i="5" s="1"/>
  <c r="B47" i="5" s="1"/>
  <c r="H278" i="2"/>
  <c r="F278" i="2"/>
  <c r="C278" i="2"/>
  <c r="M277" i="2"/>
  <c r="C46" i="5" s="1"/>
  <c r="O46" i="5" s="1"/>
  <c r="P46" i="5" s="1"/>
  <c r="F46" i="5" s="1"/>
  <c r="N46" i="5" s="1"/>
  <c r="B46" i="5" s="1"/>
  <c r="H277" i="2"/>
  <c r="F181" i="5" s="1"/>
  <c r="N181" i="5" s="1"/>
  <c r="B181" i="5" s="1"/>
  <c r="F277" i="2"/>
  <c r="C277" i="2"/>
  <c r="M276" i="2"/>
  <c r="C45" i="5" s="1"/>
  <c r="O45" i="5" s="1"/>
  <c r="P45" i="5" s="1"/>
  <c r="F45" i="5" s="1"/>
  <c r="N45" i="5" s="1"/>
  <c r="B45" i="5" s="1"/>
  <c r="H276" i="2"/>
  <c r="F180" i="5" s="1"/>
  <c r="N180" i="5" s="1"/>
  <c r="B180" i="5" s="1"/>
  <c r="F276" i="2"/>
  <c r="C276" i="2"/>
  <c r="M275" i="2"/>
  <c r="C44" i="5" s="1"/>
  <c r="O44" i="5" s="1"/>
  <c r="P44" i="5" s="1"/>
  <c r="F44" i="5" s="1"/>
  <c r="N44" i="5" s="1"/>
  <c r="B44" i="5" s="1"/>
  <c r="H275" i="2"/>
  <c r="F275" i="2"/>
  <c r="C275" i="2"/>
  <c r="M274" i="2"/>
  <c r="C43" i="5" s="1"/>
  <c r="O43" i="5" s="1"/>
  <c r="P43" i="5" s="1"/>
  <c r="F43" i="5" s="1"/>
  <c r="N43" i="5" s="1"/>
  <c r="B43" i="5" s="1"/>
  <c r="H274" i="2"/>
  <c r="F178" i="5" s="1"/>
  <c r="N178" i="5" s="1"/>
  <c r="B178" i="5" s="1"/>
  <c r="F274" i="2"/>
  <c r="C274" i="2"/>
  <c r="M273" i="2"/>
  <c r="C42" i="5" s="1"/>
  <c r="O42" i="5" s="1"/>
  <c r="P42" i="5" s="1"/>
  <c r="F42" i="5" s="1"/>
  <c r="N42" i="5" s="1"/>
  <c r="B42" i="5" s="1"/>
  <c r="H273" i="2"/>
  <c r="F273" i="2"/>
  <c r="C273" i="2"/>
  <c r="M272" i="2"/>
  <c r="C41" i="5" s="1"/>
  <c r="O41" i="5" s="1"/>
  <c r="P41" i="5" s="1"/>
  <c r="F41" i="5" s="1"/>
  <c r="N41" i="5" s="1"/>
  <c r="B41" i="5" s="1"/>
  <c r="H272" i="2"/>
  <c r="F272" i="2"/>
  <c r="C272" i="2"/>
  <c r="M271" i="2"/>
  <c r="C40" i="5" s="1"/>
  <c r="O40" i="5" s="1"/>
  <c r="P40" i="5" s="1"/>
  <c r="F40" i="5" s="1"/>
  <c r="N40" i="5" s="1"/>
  <c r="B40" i="5" s="1"/>
  <c r="H271" i="2"/>
  <c r="F271" i="2"/>
  <c r="C271" i="2"/>
  <c r="M270" i="2"/>
  <c r="C39" i="5" s="1"/>
  <c r="O39" i="5" s="1"/>
  <c r="P39" i="5" s="1"/>
  <c r="F39" i="5" s="1"/>
  <c r="N39" i="5" s="1"/>
  <c r="B39" i="5" s="1"/>
  <c r="H270" i="2"/>
  <c r="F270" i="2"/>
  <c r="C270" i="2"/>
  <c r="M269" i="2"/>
  <c r="C38" i="5" s="1"/>
  <c r="O38" i="5" s="1"/>
  <c r="P38" i="5" s="1"/>
  <c r="F38" i="5" s="1"/>
  <c r="N38" i="5" s="1"/>
  <c r="B38" i="5" s="1"/>
  <c r="H269" i="2"/>
  <c r="F173" i="5" s="1"/>
  <c r="N173" i="5" s="1"/>
  <c r="B173" i="5" s="1"/>
  <c r="F269" i="2"/>
  <c r="C269" i="2"/>
  <c r="M268" i="2"/>
  <c r="C37" i="5" s="1"/>
  <c r="O37" i="5" s="1"/>
  <c r="P37" i="5" s="1"/>
  <c r="F37" i="5" s="1"/>
  <c r="N37" i="5" s="1"/>
  <c r="B37" i="5" s="1"/>
  <c r="H268" i="2"/>
  <c r="F268" i="2"/>
  <c r="C268" i="2"/>
  <c r="M267" i="2"/>
  <c r="C36" i="5" s="1"/>
  <c r="O36" i="5" s="1"/>
  <c r="P36" i="5" s="1"/>
  <c r="F36" i="5" s="1"/>
  <c r="N36" i="5" s="1"/>
  <c r="B36" i="5" s="1"/>
  <c r="H267" i="2"/>
  <c r="F267" i="2"/>
  <c r="C267" i="2"/>
  <c r="M266" i="2"/>
  <c r="C35" i="5" s="1"/>
  <c r="O35" i="5" s="1"/>
  <c r="P35" i="5" s="1"/>
  <c r="F35" i="5" s="1"/>
  <c r="N35" i="5" s="1"/>
  <c r="B35" i="5" s="1"/>
  <c r="H266" i="2"/>
  <c r="F266" i="2"/>
  <c r="C266" i="2"/>
  <c r="R265" i="2"/>
  <c r="F22" i="5" s="1"/>
  <c r="Q265" i="2"/>
  <c r="O265" i="2"/>
  <c r="D22" i="5" s="1"/>
  <c r="M265" i="2"/>
  <c r="C34" i="5" s="1"/>
  <c r="O34" i="5" s="1"/>
  <c r="P34" i="5" s="1"/>
  <c r="F34" i="5" s="1"/>
  <c r="N34" i="5" s="1"/>
  <c r="B34" i="5" s="1"/>
  <c r="H265" i="2"/>
  <c r="F169" i="5" s="1"/>
  <c r="N169" i="5" s="1"/>
  <c r="B169" i="5" s="1"/>
  <c r="F265" i="2"/>
  <c r="C265" i="2"/>
  <c r="R264" i="2"/>
  <c r="F21" i="5" s="1"/>
  <c r="Q264" i="2"/>
  <c r="O264" i="2"/>
  <c r="D21" i="5" s="1"/>
  <c r="M264" i="2"/>
  <c r="C33" i="5" s="1"/>
  <c r="O33" i="5" s="1"/>
  <c r="P33" i="5" s="1"/>
  <c r="F33" i="5" s="1"/>
  <c r="N33" i="5" s="1"/>
  <c r="B33" i="5" s="1"/>
  <c r="H264" i="2"/>
  <c r="F264" i="2"/>
  <c r="C264" i="2"/>
  <c r="R263" i="2"/>
  <c r="F20" i="5" s="1"/>
  <c r="Q263" i="2"/>
  <c r="O263" i="2"/>
  <c r="D20" i="5" s="1"/>
  <c r="M263" i="2"/>
  <c r="C32" i="5" s="1"/>
  <c r="O32" i="5" s="1"/>
  <c r="P32" i="5" s="1"/>
  <c r="F32" i="5" s="1"/>
  <c r="N32" i="5" s="1"/>
  <c r="B32" i="5" s="1"/>
  <c r="H263" i="2"/>
  <c r="F263" i="2"/>
  <c r="C263" i="2"/>
  <c r="R262" i="2"/>
  <c r="F19" i="5" s="1"/>
  <c r="Q262" i="2"/>
  <c r="O262" i="2"/>
  <c r="D19" i="5" s="1"/>
  <c r="M262" i="2"/>
  <c r="C31" i="5" s="1"/>
  <c r="O31" i="5" s="1"/>
  <c r="P31" i="5" s="1"/>
  <c r="F31" i="5" s="1"/>
  <c r="N31" i="5" s="1"/>
  <c r="B31" i="5" s="1"/>
  <c r="H262" i="2"/>
  <c r="F262" i="2"/>
  <c r="C262" i="2"/>
  <c r="R261" i="2"/>
  <c r="F18" i="5" s="1"/>
  <c r="Q261" i="2"/>
  <c r="O261" i="2"/>
  <c r="D18" i="5" s="1"/>
  <c r="M261" i="2"/>
  <c r="C30" i="5" s="1"/>
  <c r="O30" i="5" s="1"/>
  <c r="P30" i="5" s="1"/>
  <c r="F30" i="5" s="1"/>
  <c r="N30" i="5" s="1"/>
  <c r="B30" i="5" s="1"/>
  <c r="H261" i="2"/>
  <c r="F261" i="2"/>
  <c r="C261" i="2"/>
  <c r="R260" i="2"/>
  <c r="F17" i="5" s="1"/>
  <c r="Q260" i="2"/>
  <c r="O260" i="2"/>
  <c r="D17" i="5" s="1"/>
  <c r="N17" i="5" s="1"/>
  <c r="B17" i="5" s="1"/>
  <c r="M260" i="2"/>
  <c r="C29" i="5" s="1"/>
  <c r="O29" i="5" s="1"/>
  <c r="P29" i="5" s="1"/>
  <c r="F29" i="5" s="1"/>
  <c r="N29" i="5" s="1"/>
  <c r="B29" i="5" s="1"/>
  <c r="H260" i="2"/>
  <c r="F260" i="2"/>
  <c r="C260" i="2"/>
  <c r="R259" i="2"/>
  <c r="F16" i="5" s="1"/>
  <c r="Q259" i="2"/>
  <c r="O259" i="2"/>
  <c r="D16" i="5" s="1"/>
  <c r="M259" i="2"/>
  <c r="C28" i="5" s="1"/>
  <c r="O28" i="5" s="1"/>
  <c r="P28" i="5" s="1"/>
  <c r="F28" i="5" s="1"/>
  <c r="N28" i="5" s="1"/>
  <c r="B28" i="5" s="1"/>
  <c r="H259" i="2"/>
  <c r="F259" i="2"/>
  <c r="C259" i="2"/>
  <c r="R258" i="2"/>
  <c r="F15" i="5" s="1"/>
  <c r="Q258" i="2"/>
  <c r="O258" i="2"/>
  <c r="D15" i="5" s="1"/>
  <c r="M258" i="2"/>
  <c r="C27" i="5" s="1"/>
  <c r="O27" i="5" s="1"/>
  <c r="P27" i="5" s="1"/>
  <c r="F27" i="5" s="1"/>
  <c r="N27" i="5" s="1"/>
  <c r="B27" i="5" s="1"/>
  <c r="H258" i="2"/>
  <c r="F258" i="2"/>
  <c r="C258" i="2"/>
  <c r="R257" i="2"/>
  <c r="F14" i="5" s="1"/>
  <c r="Q257" i="2"/>
  <c r="O257" i="2"/>
  <c r="D14" i="5" s="1"/>
  <c r="M257" i="2"/>
  <c r="C26" i="5" s="1"/>
  <c r="O26" i="5" s="1"/>
  <c r="P26" i="5" s="1"/>
  <c r="F26" i="5" s="1"/>
  <c r="N26" i="5" s="1"/>
  <c r="B26" i="5" s="1"/>
  <c r="H257" i="2"/>
  <c r="F257" i="2"/>
  <c r="C257" i="2"/>
  <c r="R256" i="2"/>
  <c r="F13" i="5" s="1"/>
  <c r="Q256" i="2"/>
  <c r="O256" i="2"/>
  <c r="D13" i="5" s="1"/>
  <c r="M256" i="2"/>
  <c r="C25" i="5" s="1"/>
  <c r="O25" i="5" s="1"/>
  <c r="P25" i="5" s="1"/>
  <c r="F25" i="5" s="1"/>
  <c r="N25" i="5" s="1"/>
  <c r="B25" i="5" s="1"/>
  <c r="H256" i="2"/>
  <c r="F160" i="5" s="1"/>
  <c r="N160" i="5" s="1"/>
  <c r="B160" i="5" s="1"/>
  <c r="F256" i="2"/>
  <c r="C256" i="2"/>
  <c r="R243" i="2"/>
  <c r="J239" i="3" s="1"/>
  <c r="Q243" i="2"/>
  <c r="I239" i="3" s="1"/>
  <c r="O243" i="2"/>
  <c r="H239" i="3" s="1"/>
  <c r="N243" i="2"/>
  <c r="G239" i="3" s="1"/>
  <c r="B239" i="3" s="1"/>
  <c r="M243" i="2"/>
  <c r="F239" i="3" s="1"/>
  <c r="R242" i="2"/>
  <c r="J238" i="3" s="1"/>
  <c r="Q242" i="2"/>
  <c r="I238" i="3" s="1"/>
  <c r="O242" i="2"/>
  <c r="H238" i="3" s="1"/>
  <c r="N242" i="2"/>
  <c r="G238" i="3" s="1"/>
  <c r="B238" i="3" s="1"/>
  <c r="M242" i="2"/>
  <c r="F238" i="3" s="1"/>
  <c r="R241" i="2"/>
  <c r="J237" i="3" s="1"/>
  <c r="Q241" i="2"/>
  <c r="I237" i="3" s="1"/>
  <c r="O241" i="2"/>
  <c r="H237" i="3" s="1"/>
  <c r="N241" i="2"/>
  <c r="G237" i="3" s="1"/>
  <c r="B237" i="3" s="1"/>
  <c r="M241" i="2"/>
  <c r="F237" i="3" s="1"/>
  <c r="R240" i="2"/>
  <c r="J236" i="3" s="1"/>
  <c r="Q240" i="2"/>
  <c r="I236" i="3" s="1"/>
  <c r="O240" i="2"/>
  <c r="H236" i="3" s="1"/>
  <c r="N240" i="2"/>
  <c r="G236" i="3" s="1"/>
  <c r="B236" i="3" s="1"/>
  <c r="C236" i="3" s="1"/>
  <c r="M240" i="2"/>
  <c r="F236" i="3" s="1"/>
  <c r="Q237" i="2"/>
  <c r="I233" i="3" s="1"/>
  <c r="O237" i="2"/>
  <c r="H233" i="3" s="1"/>
  <c r="N237" i="2"/>
  <c r="G233" i="3" s="1"/>
  <c r="B233" i="3" s="1"/>
  <c r="J237" i="2"/>
  <c r="K237" i="2" s="1"/>
  <c r="L237" i="2" s="1"/>
  <c r="M237" i="2" s="1"/>
  <c r="F233" i="3" s="1"/>
  <c r="Q236" i="2"/>
  <c r="I232" i="3" s="1"/>
  <c r="O236" i="2"/>
  <c r="H232" i="3" s="1"/>
  <c r="N236" i="2"/>
  <c r="G232" i="3" s="1"/>
  <c r="B232" i="3" s="1"/>
  <c r="J236" i="2"/>
  <c r="K236" i="2" s="1"/>
  <c r="L236" i="2" s="1"/>
  <c r="M236" i="2" s="1"/>
  <c r="F232" i="3" s="1"/>
  <c r="Q235" i="2"/>
  <c r="I231" i="3" s="1"/>
  <c r="O235" i="2"/>
  <c r="H231" i="3" s="1"/>
  <c r="N235" i="2"/>
  <c r="G231" i="3" s="1"/>
  <c r="B231" i="3" s="1"/>
  <c r="J235" i="2"/>
  <c r="K235" i="2" s="1"/>
  <c r="L235" i="2" s="1"/>
  <c r="M235" i="2" s="1"/>
  <c r="F231" i="3" s="1"/>
  <c r="Q234" i="2"/>
  <c r="I230" i="3" s="1"/>
  <c r="O234" i="2"/>
  <c r="H230" i="3" s="1"/>
  <c r="N234" i="2"/>
  <c r="J234" i="2"/>
  <c r="K234" i="2" s="1"/>
  <c r="L234" i="2" s="1"/>
  <c r="M234" i="2" s="1"/>
  <c r="F230" i="3" s="1"/>
  <c r="Q233" i="2"/>
  <c r="I229" i="3" s="1"/>
  <c r="O233" i="2"/>
  <c r="H229" i="3" s="1"/>
  <c r="N233" i="2"/>
  <c r="J233" i="2"/>
  <c r="K233" i="2" s="1"/>
  <c r="L233" i="2" s="1"/>
  <c r="M233" i="2" s="1"/>
  <c r="F229" i="3" s="1"/>
  <c r="Q232" i="2"/>
  <c r="I228" i="3" s="1"/>
  <c r="O232" i="2"/>
  <c r="H228" i="3" s="1"/>
  <c r="N232" i="2"/>
  <c r="G228" i="3" s="1"/>
  <c r="B228" i="3" s="1"/>
  <c r="J232" i="2"/>
  <c r="K232" i="2" s="1"/>
  <c r="L232" i="2" s="1"/>
  <c r="M232" i="2" s="1"/>
  <c r="F228" i="3" s="1"/>
  <c r="Q231" i="2"/>
  <c r="I227" i="3" s="1"/>
  <c r="O231" i="2"/>
  <c r="H227" i="3" s="1"/>
  <c r="N231" i="2"/>
  <c r="G227" i="3" s="1"/>
  <c r="B227" i="3" s="1"/>
  <c r="J231" i="2"/>
  <c r="K231" i="2" s="1"/>
  <c r="L231" i="2" s="1"/>
  <c r="M231" i="2" s="1"/>
  <c r="F227" i="3" s="1"/>
  <c r="Q230" i="2"/>
  <c r="I226" i="3" s="1"/>
  <c r="O230" i="2"/>
  <c r="H226" i="3" s="1"/>
  <c r="N230" i="2"/>
  <c r="G226" i="3" s="1"/>
  <c r="B226" i="3" s="1"/>
  <c r="J230" i="2"/>
  <c r="K230" i="2" s="1"/>
  <c r="L230" i="2" s="1"/>
  <c r="M230" i="2" s="1"/>
  <c r="F226" i="3" s="1"/>
  <c r="Q229" i="2"/>
  <c r="I225" i="3" s="1"/>
  <c r="O229" i="2"/>
  <c r="H225" i="3" s="1"/>
  <c r="N229" i="2"/>
  <c r="G225" i="3" s="1"/>
  <c r="B225" i="3" s="1"/>
  <c r="J229" i="2"/>
  <c r="K229" i="2" s="1"/>
  <c r="L229" i="2" s="1"/>
  <c r="M229" i="2" s="1"/>
  <c r="F225" i="3" s="1"/>
  <c r="Q228" i="2"/>
  <c r="I224" i="3" s="1"/>
  <c r="O228" i="2"/>
  <c r="H224" i="3" s="1"/>
  <c r="N228" i="2"/>
  <c r="G224" i="3" s="1"/>
  <c r="B224" i="3" s="1"/>
  <c r="J228" i="2"/>
  <c r="K228" i="2" s="1"/>
  <c r="L228" i="2" s="1"/>
  <c r="M228" i="2" s="1"/>
  <c r="F224" i="3" s="1"/>
  <c r="Q227" i="2"/>
  <c r="I223" i="3" s="1"/>
  <c r="O227" i="2"/>
  <c r="H223" i="3" s="1"/>
  <c r="N227" i="2"/>
  <c r="G223" i="3" s="1"/>
  <c r="B223" i="3" s="1"/>
  <c r="J227" i="2"/>
  <c r="K227" i="2" s="1"/>
  <c r="L227" i="2" s="1"/>
  <c r="M227" i="2" s="1"/>
  <c r="F223" i="3" s="1"/>
  <c r="Q226" i="2"/>
  <c r="I222" i="3" s="1"/>
  <c r="O226" i="2"/>
  <c r="H222" i="3" s="1"/>
  <c r="N226" i="2"/>
  <c r="J226" i="2"/>
  <c r="K226" i="2" s="1"/>
  <c r="L226" i="2" s="1"/>
  <c r="M226" i="2" s="1"/>
  <c r="F222" i="3" s="1"/>
  <c r="J225" i="2"/>
  <c r="J224" i="2"/>
  <c r="Q223" i="2"/>
  <c r="I219" i="3" s="1"/>
  <c r="O223" i="2"/>
  <c r="H219" i="3" s="1"/>
  <c r="N223" i="2"/>
  <c r="G219" i="3" s="1"/>
  <c r="B219" i="3" s="1"/>
  <c r="J223" i="2"/>
  <c r="K223" i="2" s="1"/>
  <c r="L223" i="2" s="1"/>
  <c r="M223" i="2" s="1"/>
  <c r="F219" i="3" s="1"/>
  <c r="Q222" i="2"/>
  <c r="I218" i="3" s="1"/>
  <c r="O222" i="2"/>
  <c r="H218" i="3" s="1"/>
  <c r="N222" i="2"/>
  <c r="G218" i="3" s="1"/>
  <c r="B218" i="3" s="1"/>
  <c r="J222" i="2"/>
  <c r="K222" i="2" s="1"/>
  <c r="L222" i="2" s="1"/>
  <c r="M222" i="2" s="1"/>
  <c r="F218" i="3" s="1"/>
  <c r="Q221" i="2"/>
  <c r="I217" i="3" s="1"/>
  <c r="O221" i="2"/>
  <c r="H217" i="3" s="1"/>
  <c r="N221" i="2"/>
  <c r="J221" i="2"/>
  <c r="K221" i="2" s="1"/>
  <c r="L221" i="2" s="1"/>
  <c r="M221" i="2" s="1"/>
  <c r="F217" i="3" s="1"/>
  <c r="Q220" i="2"/>
  <c r="I216" i="3" s="1"/>
  <c r="O220" i="2"/>
  <c r="H216" i="3" s="1"/>
  <c r="N220" i="2"/>
  <c r="G216" i="3" s="1"/>
  <c r="B216" i="3" s="1"/>
  <c r="J220" i="2"/>
  <c r="K220" i="2" s="1"/>
  <c r="L220" i="2" s="1"/>
  <c r="M220" i="2" s="1"/>
  <c r="F216" i="3" s="1"/>
  <c r="Q219" i="2"/>
  <c r="I215" i="3" s="1"/>
  <c r="O219" i="2"/>
  <c r="H215" i="3" s="1"/>
  <c r="N219" i="2"/>
  <c r="G215" i="3" s="1"/>
  <c r="B215" i="3" s="1"/>
  <c r="J219" i="2"/>
  <c r="K219" i="2" s="1"/>
  <c r="L219" i="2" s="1"/>
  <c r="M219" i="2" s="1"/>
  <c r="F215" i="3" s="1"/>
  <c r="Q218" i="2"/>
  <c r="I214" i="3" s="1"/>
  <c r="O218" i="2"/>
  <c r="H214" i="3" s="1"/>
  <c r="N218" i="2"/>
  <c r="J218" i="2"/>
  <c r="K218" i="2" s="1"/>
  <c r="L218" i="2" s="1"/>
  <c r="M218" i="2" s="1"/>
  <c r="F214" i="3" s="1"/>
  <c r="Q217" i="2"/>
  <c r="I213" i="3" s="1"/>
  <c r="O217" i="2"/>
  <c r="H213" i="3" s="1"/>
  <c r="N217" i="2"/>
  <c r="G213" i="3" s="1"/>
  <c r="J217" i="2"/>
  <c r="K217" i="2" s="1"/>
  <c r="L217" i="2" s="1"/>
  <c r="M217" i="2" s="1"/>
  <c r="F213" i="3" s="1"/>
  <c r="Q216" i="2"/>
  <c r="I212" i="3" s="1"/>
  <c r="O216" i="2"/>
  <c r="H212" i="3" s="1"/>
  <c r="N216" i="2"/>
  <c r="G212" i="3" s="1"/>
  <c r="B212" i="3" s="1"/>
  <c r="J216" i="2"/>
  <c r="K216" i="2" s="1"/>
  <c r="L216" i="2" s="1"/>
  <c r="M216" i="2" s="1"/>
  <c r="F212" i="3" s="1"/>
  <c r="Q215" i="2"/>
  <c r="I211" i="3" s="1"/>
  <c r="O215" i="2"/>
  <c r="H211" i="3" s="1"/>
  <c r="N215" i="2"/>
  <c r="J215" i="2"/>
  <c r="K215" i="2" s="1"/>
  <c r="L215" i="2" s="1"/>
  <c r="M215" i="2" s="1"/>
  <c r="F211" i="3" s="1"/>
  <c r="Q214" i="2"/>
  <c r="I210" i="3" s="1"/>
  <c r="O214" i="2"/>
  <c r="H210" i="3" s="1"/>
  <c r="N214" i="2"/>
  <c r="G210" i="3" s="1"/>
  <c r="B210" i="3" s="1"/>
  <c r="J214" i="2"/>
  <c r="K214" i="2" s="1"/>
  <c r="L214" i="2" s="1"/>
  <c r="M214" i="2" s="1"/>
  <c r="F210" i="3" s="1"/>
  <c r="Q213" i="2"/>
  <c r="I209" i="3" s="1"/>
  <c r="O213" i="2"/>
  <c r="H209" i="3" s="1"/>
  <c r="N213" i="2"/>
  <c r="G209" i="3" s="1"/>
  <c r="B209" i="3" s="1"/>
  <c r="J213" i="2"/>
  <c r="K213" i="2" s="1"/>
  <c r="L213" i="2" s="1"/>
  <c r="M213" i="2" s="1"/>
  <c r="F209" i="3" s="1"/>
  <c r="Q212" i="2"/>
  <c r="I208" i="3" s="1"/>
  <c r="O212" i="2"/>
  <c r="H208" i="3" s="1"/>
  <c r="N212" i="2"/>
  <c r="J212" i="2"/>
  <c r="K212" i="2" s="1"/>
  <c r="L212" i="2" s="1"/>
  <c r="M212" i="2" s="1"/>
  <c r="F208" i="3" s="1"/>
  <c r="Q211" i="2"/>
  <c r="I207" i="3" s="1"/>
  <c r="O211" i="2"/>
  <c r="H207" i="3" s="1"/>
  <c r="N211" i="2"/>
  <c r="G207" i="3" s="1"/>
  <c r="B207" i="3" s="1"/>
  <c r="J211" i="2"/>
  <c r="K211" i="2" s="1"/>
  <c r="L211" i="2" s="1"/>
  <c r="M211" i="2" s="1"/>
  <c r="F207" i="3" s="1"/>
  <c r="Q210" i="2"/>
  <c r="I206" i="3" s="1"/>
  <c r="O210" i="2"/>
  <c r="H206" i="3" s="1"/>
  <c r="N210" i="2"/>
  <c r="G206" i="3" s="1"/>
  <c r="B206" i="3" s="1"/>
  <c r="J210" i="2"/>
  <c r="K210" i="2" s="1"/>
  <c r="L210" i="2" s="1"/>
  <c r="M210" i="2" s="1"/>
  <c r="F206" i="3" s="1"/>
  <c r="Q209" i="2"/>
  <c r="I205" i="3" s="1"/>
  <c r="O209" i="2"/>
  <c r="H205" i="3" s="1"/>
  <c r="N209" i="2"/>
  <c r="J209" i="2"/>
  <c r="K209" i="2" s="1"/>
  <c r="L209" i="2" s="1"/>
  <c r="M209" i="2" s="1"/>
  <c r="F205" i="3" s="1"/>
  <c r="Q208" i="2"/>
  <c r="I204" i="3" s="1"/>
  <c r="O208" i="2"/>
  <c r="H204" i="3" s="1"/>
  <c r="N208" i="2"/>
  <c r="J208" i="2"/>
  <c r="K208" i="2" s="1"/>
  <c r="L208" i="2" s="1"/>
  <c r="M208" i="2" s="1"/>
  <c r="F204" i="3" s="1"/>
  <c r="Q207" i="2"/>
  <c r="I203" i="3" s="1"/>
  <c r="O207" i="2"/>
  <c r="H203" i="3" s="1"/>
  <c r="N207" i="2"/>
  <c r="J207" i="2"/>
  <c r="K207" i="2" s="1"/>
  <c r="L207" i="2" s="1"/>
  <c r="M207" i="2" s="1"/>
  <c r="F203" i="3" s="1"/>
  <c r="J206" i="2"/>
  <c r="J205" i="2"/>
  <c r="Q204" i="2"/>
  <c r="I200" i="3" s="1"/>
  <c r="O204" i="2"/>
  <c r="H200" i="3" s="1"/>
  <c r="N204" i="2"/>
  <c r="G200" i="3" s="1"/>
  <c r="J204" i="2"/>
  <c r="K204" i="2" s="1"/>
  <c r="L204" i="2" s="1"/>
  <c r="M204" i="2" s="1"/>
  <c r="F200" i="3" s="1"/>
  <c r="Q203" i="2"/>
  <c r="I199" i="3" s="1"/>
  <c r="O203" i="2"/>
  <c r="H199" i="3" s="1"/>
  <c r="N203" i="2"/>
  <c r="G199" i="3" s="1"/>
  <c r="J203" i="2"/>
  <c r="K203" i="2" s="1"/>
  <c r="L203" i="2" s="1"/>
  <c r="M203" i="2" s="1"/>
  <c r="F199" i="3" s="1"/>
  <c r="Q202" i="2"/>
  <c r="I198" i="3" s="1"/>
  <c r="O202" i="2"/>
  <c r="H198" i="3" s="1"/>
  <c r="N202" i="2"/>
  <c r="G198" i="3" s="1"/>
  <c r="J202" i="2"/>
  <c r="K202" i="2" s="1"/>
  <c r="L202" i="2" s="1"/>
  <c r="M202" i="2" s="1"/>
  <c r="F198" i="3" s="1"/>
  <c r="Q201" i="2"/>
  <c r="I197" i="3" s="1"/>
  <c r="O201" i="2"/>
  <c r="H197" i="3" s="1"/>
  <c r="N201" i="2"/>
  <c r="J201" i="2"/>
  <c r="K201" i="2" s="1"/>
  <c r="L201" i="2" s="1"/>
  <c r="M201" i="2" s="1"/>
  <c r="F197" i="3" s="1"/>
  <c r="Q200" i="2"/>
  <c r="I196" i="3" s="1"/>
  <c r="O200" i="2"/>
  <c r="H196" i="3" s="1"/>
  <c r="N200" i="2"/>
  <c r="J200" i="2"/>
  <c r="K200" i="2" s="1"/>
  <c r="L200" i="2" s="1"/>
  <c r="M200" i="2" s="1"/>
  <c r="F196" i="3" s="1"/>
  <c r="N199" i="2"/>
  <c r="O199" i="2" s="1"/>
  <c r="H195" i="3" s="1"/>
  <c r="J199" i="2"/>
  <c r="K199" i="2" s="1"/>
  <c r="L199" i="2" s="1"/>
  <c r="M199" i="2" s="1"/>
  <c r="F195" i="3" s="1"/>
  <c r="N198" i="2"/>
  <c r="R198" i="2" s="1"/>
  <c r="J194" i="3" s="1"/>
  <c r="J198" i="2"/>
  <c r="K198" i="2" s="1"/>
  <c r="L198" i="2" s="1"/>
  <c r="M198" i="2" s="1"/>
  <c r="F194" i="3" s="1"/>
  <c r="N197" i="2"/>
  <c r="R197" i="2" s="1"/>
  <c r="J193" i="3" s="1"/>
  <c r="J197" i="2"/>
  <c r="K197" i="2" s="1"/>
  <c r="L197" i="2" s="1"/>
  <c r="M197" i="2" s="1"/>
  <c r="F193" i="3" s="1"/>
  <c r="N196" i="2"/>
  <c r="G192" i="3" s="1"/>
  <c r="J196" i="2"/>
  <c r="K196" i="2" s="1"/>
  <c r="L196" i="2" s="1"/>
  <c r="M196" i="2" s="1"/>
  <c r="F192" i="3" s="1"/>
  <c r="N195" i="2"/>
  <c r="G191" i="3" s="1"/>
  <c r="J195" i="2"/>
  <c r="K195" i="2" s="1"/>
  <c r="L195" i="2" s="1"/>
  <c r="M195" i="2" s="1"/>
  <c r="F191" i="3" s="1"/>
  <c r="O194" i="2"/>
  <c r="H190" i="3" s="1"/>
  <c r="N194" i="2"/>
  <c r="G190" i="3" s="1"/>
  <c r="J194" i="2"/>
  <c r="K194" i="2" s="1"/>
  <c r="L194" i="2" s="1"/>
  <c r="M194" i="2" s="1"/>
  <c r="F190" i="3" s="1"/>
  <c r="N193" i="2"/>
  <c r="G189" i="3" s="1"/>
  <c r="J193" i="2"/>
  <c r="K193" i="2" s="1"/>
  <c r="L193" i="2" s="1"/>
  <c r="M193" i="2" s="1"/>
  <c r="F189" i="3" s="1"/>
  <c r="N192" i="2"/>
  <c r="J192" i="2"/>
  <c r="K192" i="2" s="1"/>
  <c r="L192" i="2" s="1"/>
  <c r="M192" i="2" s="1"/>
  <c r="F188" i="3" s="1"/>
  <c r="N191" i="2"/>
  <c r="J191" i="2"/>
  <c r="K191" i="2" s="1"/>
  <c r="L191" i="2" s="1"/>
  <c r="M191" i="2" s="1"/>
  <c r="F187" i="3" s="1"/>
  <c r="O190" i="2"/>
  <c r="H186" i="3" s="1"/>
  <c r="N190" i="2"/>
  <c r="G186" i="3" s="1"/>
  <c r="B186" i="3" s="1"/>
  <c r="J190" i="2"/>
  <c r="K190" i="2" s="1"/>
  <c r="L190" i="2" s="1"/>
  <c r="M190" i="2" s="1"/>
  <c r="F186" i="3" s="1"/>
  <c r="J189" i="2"/>
  <c r="J188" i="2"/>
  <c r="Q187" i="2"/>
  <c r="I183" i="3" s="1"/>
  <c r="O187" i="2"/>
  <c r="H183" i="3" s="1"/>
  <c r="N187" i="2"/>
  <c r="J187" i="2"/>
  <c r="K187" i="2" s="1"/>
  <c r="L187" i="2" s="1"/>
  <c r="M187" i="2" s="1"/>
  <c r="F183" i="3" s="1"/>
  <c r="Q186" i="2"/>
  <c r="I182" i="3" s="1"/>
  <c r="O186" i="2"/>
  <c r="H182" i="3" s="1"/>
  <c r="N186" i="2"/>
  <c r="J186" i="2"/>
  <c r="K186" i="2" s="1"/>
  <c r="L186" i="2" s="1"/>
  <c r="M186" i="2" s="1"/>
  <c r="F182" i="3" s="1"/>
  <c r="Q185" i="2"/>
  <c r="I181" i="3" s="1"/>
  <c r="O185" i="2"/>
  <c r="H181" i="3" s="1"/>
  <c r="N185" i="2"/>
  <c r="G181" i="3" s="1"/>
  <c r="J185" i="2"/>
  <c r="K185" i="2" s="1"/>
  <c r="L185" i="2" s="1"/>
  <c r="M185" i="2" s="1"/>
  <c r="F181" i="3" s="1"/>
  <c r="Q184" i="2"/>
  <c r="I180" i="3" s="1"/>
  <c r="O184" i="2"/>
  <c r="H180" i="3" s="1"/>
  <c r="N184" i="2"/>
  <c r="G180" i="3" s="1"/>
  <c r="J184" i="2"/>
  <c r="K184" i="2" s="1"/>
  <c r="L184" i="2" s="1"/>
  <c r="M184" i="2" s="1"/>
  <c r="F180" i="3" s="1"/>
  <c r="Q183" i="2"/>
  <c r="I179" i="3" s="1"/>
  <c r="O183" i="2"/>
  <c r="H179" i="3" s="1"/>
  <c r="N183" i="2"/>
  <c r="G179" i="3" s="1"/>
  <c r="J183" i="2"/>
  <c r="K183" i="2" s="1"/>
  <c r="L183" i="2" s="1"/>
  <c r="M183" i="2" s="1"/>
  <c r="F179" i="3" s="1"/>
  <c r="N182" i="2"/>
  <c r="R182" i="2" s="1"/>
  <c r="J178" i="3" s="1"/>
  <c r="J182" i="2"/>
  <c r="K182" i="2" s="1"/>
  <c r="L182" i="2" s="1"/>
  <c r="M182" i="2" s="1"/>
  <c r="F178" i="3" s="1"/>
  <c r="N181" i="2"/>
  <c r="G177" i="3" s="1"/>
  <c r="J181" i="2"/>
  <c r="K181" i="2" s="1"/>
  <c r="L181" i="2" s="1"/>
  <c r="M181" i="2" s="1"/>
  <c r="F177" i="3" s="1"/>
  <c r="N180" i="2"/>
  <c r="J180" i="2"/>
  <c r="K180" i="2" s="1"/>
  <c r="L180" i="2" s="1"/>
  <c r="M180" i="2" s="1"/>
  <c r="F176" i="3" s="1"/>
  <c r="N179" i="2"/>
  <c r="R179" i="2" s="1"/>
  <c r="J175" i="3" s="1"/>
  <c r="J179" i="2"/>
  <c r="K179" i="2" s="1"/>
  <c r="L179" i="2" s="1"/>
  <c r="M179" i="2" s="1"/>
  <c r="F175" i="3" s="1"/>
  <c r="N178" i="2"/>
  <c r="G174" i="3" s="1"/>
  <c r="J178" i="2"/>
  <c r="K178" i="2" s="1"/>
  <c r="L178" i="2" s="1"/>
  <c r="M178" i="2" s="1"/>
  <c r="F174" i="3" s="1"/>
  <c r="O177" i="2"/>
  <c r="H173" i="3" s="1"/>
  <c r="N177" i="2"/>
  <c r="G173" i="3" s="1"/>
  <c r="J177" i="2"/>
  <c r="K177" i="2" s="1"/>
  <c r="L177" i="2" s="1"/>
  <c r="M177" i="2" s="1"/>
  <c r="F173" i="3" s="1"/>
  <c r="N176" i="2"/>
  <c r="J176" i="2"/>
  <c r="K176" i="2" s="1"/>
  <c r="L176" i="2" s="1"/>
  <c r="M176" i="2" s="1"/>
  <c r="F172" i="3" s="1"/>
  <c r="N175" i="2"/>
  <c r="G171" i="3" s="1"/>
  <c r="J175" i="2"/>
  <c r="K175" i="2" s="1"/>
  <c r="L175" i="2" s="1"/>
  <c r="M175" i="2" s="1"/>
  <c r="F171" i="3" s="1"/>
  <c r="N174" i="2"/>
  <c r="J174" i="2"/>
  <c r="K174" i="2" s="1"/>
  <c r="L174" i="2" s="1"/>
  <c r="M174" i="2" s="1"/>
  <c r="F170" i="3" s="1"/>
  <c r="O173" i="2"/>
  <c r="H169" i="3" s="1"/>
  <c r="N173" i="2"/>
  <c r="G169" i="3" s="1"/>
  <c r="B169" i="3" s="1"/>
  <c r="J173" i="2"/>
  <c r="K173" i="2" s="1"/>
  <c r="L173" i="2" s="1"/>
  <c r="M173" i="2" s="1"/>
  <c r="F169" i="3" s="1"/>
  <c r="J172" i="2"/>
  <c r="Q170" i="2"/>
  <c r="I166" i="3" s="1"/>
  <c r="O170" i="2"/>
  <c r="H166" i="3" s="1"/>
  <c r="N170" i="2"/>
  <c r="J170" i="2"/>
  <c r="K170" i="2" s="1"/>
  <c r="L170" i="2" s="1"/>
  <c r="M170" i="2" s="1"/>
  <c r="F166" i="3" s="1"/>
  <c r="Q169" i="2"/>
  <c r="I165" i="3" s="1"/>
  <c r="O169" i="2"/>
  <c r="H165" i="3" s="1"/>
  <c r="N169" i="2"/>
  <c r="J169" i="2"/>
  <c r="K169" i="2" s="1"/>
  <c r="L169" i="2" s="1"/>
  <c r="M169" i="2" s="1"/>
  <c r="F165" i="3" s="1"/>
  <c r="Q168" i="2"/>
  <c r="I164" i="3" s="1"/>
  <c r="O168" i="2"/>
  <c r="H164" i="3" s="1"/>
  <c r="N168" i="2"/>
  <c r="J168" i="2"/>
  <c r="K168" i="2" s="1"/>
  <c r="L168" i="2" s="1"/>
  <c r="M168" i="2" s="1"/>
  <c r="F164" i="3" s="1"/>
  <c r="Q167" i="2"/>
  <c r="I163" i="3" s="1"/>
  <c r="O167" i="2"/>
  <c r="H163" i="3" s="1"/>
  <c r="N167" i="2"/>
  <c r="J167" i="2"/>
  <c r="K167" i="2" s="1"/>
  <c r="L167" i="2" s="1"/>
  <c r="M167" i="2" s="1"/>
  <c r="F163" i="3" s="1"/>
  <c r="Q166" i="2"/>
  <c r="I162" i="3" s="1"/>
  <c r="O166" i="2"/>
  <c r="H162" i="3" s="1"/>
  <c r="N166" i="2"/>
  <c r="J166" i="2"/>
  <c r="K166" i="2" s="1"/>
  <c r="L166" i="2" s="1"/>
  <c r="M166" i="2" s="1"/>
  <c r="F162" i="3" s="1"/>
  <c r="N165" i="2"/>
  <c r="O165" i="2" s="1"/>
  <c r="H161" i="3" s="1"/>
  <c r="J165" i="2"/>
  <c r="K165" i="2" s="1"/>
  <c r="L165" i="2" s="1"/>
  <c r="M165" i="2" s="1"/>
  <c r="F161" i="3" s="1"/>
  <c r="N164" i="2"/>
  <c r="J164" i="2"/>
  <c r="K164" i="2" s="1"/>
  <c r="L164" i="2" s="1"/>
  <c r="M164" i="2" s="1"/>
  <c r="F160" i="3" s="1"/>
  <c r="N163" i="2"/>
  <c r="O163" i="2" s="1"/>
  <c r="H159" i="3" s="1"/>
  <c r="J163" i="2"/>
  <c r="K163" i="2" s="1"/>
  <c r="L163" i="2" s="1"/>
  <c r="M163" i="2" s="1"/>
  <c r="F159" i="3" s="1"/>
  <c r="N162" i="2"/>
  <c r="O162" i="2" s="1"/>
  <c r="H158" i="3" s="1"/>
  <c r="J162" i="2"/>
  <c r="K162" i="2" s="1"/>
  <c r="L162" i="2" s="1"/>
  <c r="M162" i="2" s="1"/>
  <c r="F158" i="3" s="1"/>
  <c r="N161" i="2"/>
  <c r="J161" i="2"/>
  <c r="K161" i="2" s="1"/>
  <c r="L161" i="2" s="1"/>
  <c r="M161" i="2" s="1"/>
  <c r="F157" i="3" s="1"/>
  <c r="O160" i="2"/>
  <c r="N160" i="2"/>
  <c r="G156" i="3" s="1"/>
  <c r="B156" i="3" s="1"/>
  <c r="J160" i="2"/>
  <c r="K160" i="2" s="1"/>
  <c r="L160" i="2" s="1"/>
  <c r="M160" i="2" s="1"/>
  <c r="F156" i="3" s="1"/>
  <c r="N159" i="2"/>
  <c r="J159" i="2"/>
  <c r="K159" i="2" s="1"/>
  <c r="L159" i="2" s="1"/>
  <c r="M159" i="2" s="1"/>
  <c r="F155" i="3" s="1"/>
  <c r="N158" i="2"/>
  <c r="J158" i="2"/>
  <c r="K158" i="2" s="1"/>
  <c r="L158" i="2" s="1"/>
  <c r="M158" i="2" s="1"/>
  <c r="F154" i="3" s="1"/>
  <c r="N157" i="2"/>
  <c r="O157" i="2" s="1"/>
  <c r="J157" i="2"/>
  <c r="K157" i="2" s="1"/>
  <c r="L157" i="2" s="1"/>
  <c r="M157" i="2" s="1"/>
  <c r="F153" i="3" s="1"/>
  <c r="O156" i="2"/>
  <c r="N156" i="2"/>
  <c r="G152" i="3" s="1"/>
  <c r="B152" i="3" s="1"/>
  <c r="J156" i="2"/>
  <c r="K156" i="2" s="1"/>
  <c r="L156" i="2" s="1"/>
  <c r="M156" i="2" s="1"/>
  <c r="F152" i="3" s="1"/>
  <c r="J155" i="2"/>
  <c r="J154" i="2"/>
  <c r="O153" i="2"/>
  <c r="H149" i="3" s="1"/>
  <c r="B149" i="3" s="1"/>
  <c r="J153" i="2"/>
  <c r="K153" i="2" s="1"/>
  <c r="L153" i="2" s="1"/>
  <c r="M153" i="2" s="1"/>
  <c r="F149" i="3" s="1"/>
  <c r="O152" i="2"/>
  <c r="Q152" i="2" s="1"/>
  <c r="I148" i="3" s="1"/>
  <c r="J152" i="2"/>
  <c r="K152" i="2" s="1"/>
  <c r="L152" i="2" s="1"/>
  <c r="M152" i="2" s="1"/>
  <c r="F148" i="3" s="1"/>
  <c r="R151" i="2"/>
  <c r="J147" i="3" s="1"/>
  <c r="Q151" i="2"/>
  <c r="I147" i="3" s="1"/>
  <c r="O151" i="2"/>
  <c r="H147" i="3" s="1"/>
  <c r="B147" i="3" s="1"/>
  <c r="J151" i="2"/>
  <c r="K151" i="2" s="1"/>
  <c r="L151" i="2" s="1"/>
  <c r="M151" i="2" s="1"/>
  <c r="F147" i="3" s="1"/>
  <c r="R150" i="2"/>
  <c r="J146" i="3" s="1"/>
  <c r="N150" i="2"/>
  <c r="G146" i="3" s="1"/>
  <c r="J150" i="2"/>
  <c r="K150" i="2" s="1"/>
  <c r="L150" i="2" s="1"/>
  <c r="M150" i="2" s="1"/>
  <c r="F146" i="3" s="1"/>
  <c r="N149" i="2"/>
  <c r="R149" i="2" s="1"/>
  <c r="J145" i="3" s="1"/>
  <c r="J149" i="2"/>
  <c r="K149" i="2" s="1"/>
  <c r="L149" i="2" s="1"/>
  <c r="M149" i="2" s="1"/>
  <c r="F145" i="3" s="1"/>
  <c r="N148" i="2"/>
  <c r="J148" i="2"/>
  <c r="K148" i="2" s="1"/>
  <c r="L148" i="2" s="1"/>
  <c r="M148" i="2" s="1"/>
  <c r="F144" i="3" s="1"/>
  <c r="R147" i="2"/>
  <c r="J143" i="3" s="1"/>
  <c r="Q147" i="2"/>
  <c r="I143" i="3" s="1"/>
  <c r="O147" i="2"/>
  <c r="H143" i="3" s="1"/>
  <c r="B143" i="3" s="1"/>
  <c r="N147" i="2"/>
  <c r="G143" i="3" s="1"/>
  <c r="J147" i="2"/>
  <c r="K147" i="2" s="1"/>
  <c r="L147" i="2" s="1"/>
  <c r="M147" i="2" s="1"/>
  <c r="F143" i="3" s="1"/>
  <c r="R146" i="2"/>
  <c r="J142" i="3" s="1"/>
  <c r="Q146" i="2"/>
  <c r="I142" i="3" s="1"/>
  <c r="O146" i="2"/>
  <c r="H142" i="3" s="1"/>
  <c r="B142" i="3" s="1"/>
  <c r="N146" i="2"/>
  <c r="G142" i="3" s="1"/>
  <c r="J146" i="2"/>
  <c r="K146" i="2" s="1"/>
  <c r="L146" i="2" s="1"/>
  <c r="M146" i="2" s="1"/>
  <c r="F142" i="3" s="1"/>
  <c r="N145" i="2"/>
  <c r="J145" i="2"/>
  <c r="K145" i="2" s="1"/>
  <c r="L145" i="2" s="1"/>
  <c r="M145" i="2" s="1"/>
  <c r="F141" i="3" s="1"/>
  <c r="R144" i="2"/>
  <c r="J140" i="3" s="1"/>
  <c r="Q144" i="2"/>
  <c r="I140" i="3" s="1"/>
  <c r="O144" i="2"/>
  <c r="H140" i="3" s="1"/>
  <c r="B140" i="3" s="1"/>
  <c r="N144" i="2"/>
  <c r="G140" i="3" s="1"/>
  <c r="J144" i="2"/>
  <c r="K144" i="2" s="1"/>
  <c r="L144" i="2" s="1"/>
  <c r="M144" i="2" s="1"/>
  <c r="F140" i="3" s="1"/>
  <c r="N143" i="2"/>
  <c r="J143" i="2"/>
  <c r="K143" i="2" s="1"/>
  <c r="L143" i="2" s="1"/>
  <c r="M143" i="2" s="1"/>
  <c r="F139" i="3" s="1"/>
  <c r="N142" i="2"/>
  <c r="G138" i="3" s="1"/>
  <c r="L142" i="2"/>
  <c r="F142" i="2"/>
  <c r="J142" i="2" s="1"/>
  <c r="K142" i="2" s="1"/>
  <c r="R141" i="2"/>
  <c r="J137" i="3" s="1"/>
  <c r="O141" i="2"/>
  <c r="H137" i="3" s="1"/>
  <c r="B137" i="3" s="1"/>
  <c r="L141" i="2"/>
  <c r="F141" i="2"/>
  <c r="N140" i="2"/>
  <c r="G136" i="3" s="1"/>
  <c r="J140" i="2"/>
  <c r="K140" i="2" s="1"/>
  <c r="L140" i="2" s="1"/>
  <c r="M140" i="2" s="1"/>
  <c r="F136" i="3" s="1"/>
  <c r="N139" i="2"/>
  <c r="G135" i="3" s="1"/>
  <c r="F139" i="2"/>
  <c r="N138" i="2"/>
  <c r="G134" i="3" s="1"/>
  <c r="J138" i="2"/>
  <c r="K138" i="2" s="1"/>
  <c r="L138" i="2" s="1"/>
  <c r="M138" i="2" s="1"/>
  <c r="F134" i="3" s="1"/>
  <c r="R137" i="2"/>
  <c r="J133" i="3" s="1"/>
  <c r="O137" i="2"/>
  <c r="H133" i="3" s="1"/>
  <c r="B133" i="3" s="1"/>
  <c r="L137" i="2"/>
  <c r="F137" i="2"/>
  <c r="N136" i="2"/>
  <c r="R136" i="2" s="1"/>
  <c r="J132" i="3" s="1"/>
  <c r="J136" i="2"/>
  <c r="K136" i="2" s="1"/>
  <c r="L136" i="2" s="1"/>
  <c r="M136" i="2" s="1"/>
  <c r="F132" i="3" s="1"/>
  <c r="N135" i="2"/>
  <c r="O135" i="2" s="1"/>
  <c r="H131" i="3" s="1"/>
  <c r="B131" i="3" s="1"/>
  <c r="F135" i="2"/>
  <c r="J135" i="2" s="1"/>
  <c r="K135" i="2" s="1"/>
  <c r="L135" i="2" s="1"/>
  <c r="M135" i="2" s="1"/>
  <c r="F131" i="3" s="1"/>
  <c r="N134" i="2"/>
  <c r="G130" i="3" s="1"/>
  <c r="J134" i="2"/>
  <c r="K134" i="2" s="1"/>
  <c r="L134" i="2" s="1"/>
  <c r="M134" i="2" s="1"/>
  <c r="F130" i="3" s="1"/>
  <c r="N133" i="2"/>
  <c r="L133" i="2"/>
  <c r="F133" i="2"/>
  <c r="J133" i="2" s="1"/>
  <c r="K133" i="2" s="1"/>
  <c r="R132" i="2"/>
  <c r="J128" i="3" s="1"/>
  <c r="O132" i="2"/>
  <c r="H128" i="3" s="1"/>
  <c r="B128" i="3" s="1"/>
  <c r="L132" i="2"/>
  <c r="F132" i="2"/>
  <c r="N131" i="2"/>
  <c r="R131" i="2" s="1"/>
  <c r="J127" i="3" s="1"/>
  <c r="J131" i="2"/>
  <c r="K131" i="2" s="1"/>
  <c r="L131" i="2" s="1"/>
  <c r="M131" i="2" s="1"/>
  <c r="F127" i="3" s="1"/>
  <c r="N130" i="2"/>
  <c r="G126" i="3" s="1"/>
  <c r="F130" i="2"/>
  <c r="J130" i="2" s="1"/>
  <c r="K130" i="2" s="1"/>
  <c r="L130" i="2" s="1"/>
  <c r="M130" i="2" s="1"/>
  <c r="F126" i="3" s="1"/>
  <c r="N129" i="2"/>
  <c r="O129" i="2" s="1"/>
  <c r="H125" i="3" s="1"/>
  <c r="B125" i="3" s="1"/>
  <c r="J129" i="2"/>
  <c r="K129" i="2" s="1"/>
  <c r="L129" i="2" s="1"/>
  <c r="M129" i="2" s="1"/>
  <c r="F125" i="3" s="1"/>
  <c r="O128" i="2"/>
  <c r="L128" i="2"/>
  <c r="F128" i="2"/>
  <c r="N127" i="2"/>
  <c r="G123" i="3" s="1"/>
  <c r="J127" i="2"/>
  <c r="K127" i="2" s="1"/>
  <c r="L127" i="2" s="1"/>
  <c r="M127" i="2" s="1"/>
  <c r="F123" i="3" s="1"/>
  <c r="N126" i="2"/>
  <c r="G122" i="3" s="1"/>
  <c r="F126" i="2"/>
  <c r="J126" i="2" s="1"/>
  <c r="K126" i="2" s="1"/>
  <c r="L126" i="2" s="1"/>
  <c r="M126" i="2" s="1"/>
  <c r="F122" i="3" s="1"/>
  <c r="Q123" i="2"/>
  <c r="I119" i="3" s="1"/>
  <c r="O123" i="2"/>
  <c r="H119" i="3" s="1"/>
  <c r="B119" i="3" s="1"/>
  <c r="N123" i="2"/>
  <c r="G119" i="3" s="1"/>
  <c r="J123" i="2"/>
  <c r="K123" i="2" s="1"/>
  <c r="L123" i="2" s="1"/>
  <c r="M123" i="2" s="1"/>
  <c r="F119" i="3" s="1"/>
  <c r="Q122" i="2"/>
  <c r="I118" i="3" s="1"/>
  <c r="O122" i="2"/>
  <c r="H118" i="3" s="1"/>
  <c r="B118" i="3" s="1"/>
  <c r="N122" i="2"/>
  <c r="G118" i="3" s="1"/>
  <c r="J122" i="2"/>
  <c r="K122" i="2" s="1"/>
  <c r="L122" i="2" s="1"/>
  <c r="M122" i="2" s="1"/>
  <c r="F118" i="3" s="1"/>
  <c r="Q121" i="2"/>
  <c r="I117" i="3" s="1"/>
  <c r="O121" i="2"/>
  <c r="H117" i="3" s="1"/>
  <c r="B117" i="3" s="1"/>
  <c r="N121" i="2"/>
  <c r="G117" i="3" s="1"/>
  <c r="J121" i="2"/>
  <c r="K121" i="2" s="1"/>
  <c r="L121" i="2" s="1"/>
  <c r="M121" i="2" s="1"/>
  <c r="F117" i="3" s="1"/>
  <c r="Q120" i="2"/>
  <c r="I116" i="3" s="1"/>
  <c r="O120" i="2"/>
  <c r="H116" i="3" s="1"/>
  <c r="B116" i="3" s="1"/>
  <c r="N120" i="2"/>
  <c r="G116" i="3" s="1"/>
  <c r="J120" i="2"/>
  <c r="K120" i="2" s="1"/>
  <c r="L120" i="2" s="1"/>
  <c r="M120" i="2" s="1"/>
  <c r="F116" i="3" s="1"/>
  <c r="Q119" i="2"/>
  <c r="I115" i="3" s="1"/>
  <c r="O119" i="2"/>
  <c r="H115" i="3" s="1"/>
  <c r="B115" i="3" s="1"/>
  <c r="N119" i="2"/>
  <c r="G115" i="3" s="1"/>
  <c r="J119" i="2"/>
  <c r="K119" i="2" s="1"/>
  <c r="L119" i="2" s="1"/>
  <c r="M119" i="2" s="1"/>
  <c r="F115" i="3" s="1"/>
  <c r="Q118" i="2"/>
  <c r="I114" i="3" s="1"/>
  <c r="O118" i="2"/>
  <c r="H114" i="3" s="1"/>
  <c r="B114" i="3" s="1"/>
  <c r="N118" i="2"/>
  <c r="G114" i="3" s="1"/>
  <c r="J118" i="2"/>
  <c r="K118" i="2" s="1"/>
  <c r="L118" i="2" s="1"/>
  <c r="M118" i="2" s="1"/>
  <c r="F114" i="3" s="1"/>
  <c r="Q117" i="2"/>
  <c r="I113" i="3" s="1"/>
  <c r="O117" i="2"/>
  <c r="H113" i="3" s="1"/>
  <c r="B113" i="3" s="1"/>
  <c r="N117" i="2"/>
  <c r="G113" i="3" s="1"/>
  <c r="J117" i="2"/>
  <c r="K117" i="2" s="1"/>
  <c r="L117" i="2" s="1"/>
  <c r="M117" i="2" s="1"/>
  <c r="F113" i="3" s="1"/>
  <c r="N116" i="2"/>
  <c r="G112" i="3" s="1"/>
  <c r="J116" i="2"/>
  <c r="K116" i="2" s="1"/>
  <c r="L116" i="2" s="1"/>
  <c r="M116" i="2" s="1"/>
  <c r="F112" i="3" s="1"/>
  <c r="R115" i="2"/>
  <c r="J111" i="3" s="1"/>
  <c r="Q115" i="2"/>
  <c r="I111" i="3" s="1"/>
  <c r="O115" i="2"/>
  <c r="H111" i="3" s="1"/>
  <c r="B111" i="3" s="1"/>
  <c r="N115" i="2"/>
  <c r="G111" i="3" s="1"/>
  <c r="J115" i="2"/>
  <c r="K115" i="2" s="1"/>
  <c r="L115" i="2" s="1"/>
  <c r="M115" i="2" s="1"/>
  <c r="F111" i="3" s="1"/>
  <c r="N114" i="2"/>
  <c r="J114" i="2"/>
  <c r="K114" i="2" s="1"/>
  <c r="L114" i="2" s="1"/>
  <c r="M114" i="2" s="1"/>
  <c r="F110" i="3" s="1"/>
  <c r="Q113" i="2"/>
  <c r="I109" i="3" s="1"/>
  <c r="O113" i="2"/>
  <c r="H109" i="3" s="1"/>
  <c r="B109" i="3" s="1"/>
  <c r="N113" i="2"/>
  <c r="G109" i="3" s="1"/>
  <c r="J113" i="2"/>
  <c r="K113" i="2" s="1"/>
  <c r="L113" i="2" s="1"/>
  <c r="M113" i="2" s="1"/>
  <c r="F109" i="3" s="1"/>
  <c r="Q112" i="2"/>
  <c r="I108" i="3" s="1"/>
  <c r="O112" i="2"/>
  <c r="H108" i="3" s="1"/>
  <c r="B108" i="3" s="1"/>
  <c r="N112" i="2"/>
  <c r="G108" i="3" s="1"/>
  <c r="J112" i="2"/>
  <c r="K112" i="2" s="1"/>
  <c r="L112" i="2" s="1"/>
  <c r="M112" i="2" s="1"/>
  <c r="F108" i="3" s="1"/>
  <c r="O111" i="2"/>
  <c r="H107" i="3" s="1"/>
  <c r="B107" i="3" s="1"/>
  <c r="N111" i="2"/>
  <c r="G107" i="3" s="1"/>
  <c r="J111" i="2"/>
  <c r="K111" i="2" s="1"/>
  <c r="L111" i="2" s="1"/>
  <c r="M111" i="2" s="1"/>
  <c r="F107" i="3" s="1"/>
  <c r="R110" i="2"/>
  <c r="J106" i="3" s="1"/>
  <c r="Q110" i="2"/>
  <c r="I106" i="3" s="1"/>
  <c r="O110" i="2"/>
  <c r="H106" i="3" s="1"/>
  <c r="B106" i="3" s="1"/>
  <c r="N110" i="2"/>
  <c r="G106" i="3" s="1"/>
  <c r="J110" i="2"/>
  <c r="K110" i="2" s="1"/>
  <c r="L110" i="2" s="1"/>
  <c r="M110" i="2" s="1"/>
  <c r="F106" i="3" s="1"/>
  <c r="N109" i="2"/>
  <c r="R109" i="2" s="1"/>
  <c r="J105" i="3" s="1"/>
  <c r="J109" i="2"/>
  <c r="K109" i="2" s="1"/>
  <c r="L109" i="2" s="1"/>
  <c r="M109" i="2" s="1"/>
  <c r="F105" i="3" s="1"/>
  <c r="N108" i="2"/>
  <c r="R108" i="2" s="1"/>
  <c r="J104" i="3" s="1"/>
  <c r="J108" i="2"/>
  <c r="K108" i="2" s="1"/>
  <c r="L108" i="2" s="1"/>
  <c r="M108" i="2" s="1"/>
  <c r="F104" i="3" s="1"/>
  <c r="N107" i="2"/>
  <c r="G103" i="3" s="1"/>
  <c r="J107" i="2"/>
  <c r="K107" i="2" s="1"/>
  <c r="L107" i="2" s="1"/>
  <c r="M107" i="2" s="1"/>
  <c r="F103" i="3" s="1"/>
  <c r="N106" i="2"/>
  <c r="R106" i="2" s="1"/>
  <c r="J102" i="3" s="1"/>
  <c r="J106" i="2"/>
  <c r="K106" i="2" s="1"/>
  <c r="L106" i="2" s="1"/>
  <c r="M106" i="2" s="1"/>
  <c r="F102" i="3" s="1"/>
  <c r="N105" i="2"/>
  <c r="J105" i="2"/>
  <c r="K105" i="2" s="1"/>
  <c r="L105" i="2" s="1"/>
  <c r="M105" i="2" s="1"/>
  <c r="F101" i="3" s="1"/>
  <c r="N104" i="2"/>
  <c r="G100" i="3" s="1"/>
  <c r="J104" i="2"/>
  <c r="K104" i="2" s="1"/>
  <c r="L104" i="2" s="1"/>
  <c r="M104" i="2" s="1"/>
  <c r="F100" i="3" s="1"/>
  <c r="N103" i="2"/>
  <c r="R103" i="2" s="1"/>
  <c r="J99" i="3" s="1"/>
  <c r="J103" i="2"/>
  <c r="K103" i="2" s="1"/>
  <c r="L103" i="2" s="1"/>
  <c r="M103" i="2" s="1"/>
  <c r="F99" i="3" s="1"/>
  <c r="N102" i="2"/>
  <c r="R102" i="2" s="1"/>
  <c r="J98" i="3" s="1"/>
  <c r="J102" i="2"/>
  <c r="K102" i="2" s="1"/>
  <c r="L102" i="2" s="1"/>
  <c r="M102" i="2" s="1"/>
  <c r="F98" i="3" s="1"/>
  <c r="R101" i="2"/>
  <c r="J97" i="3" s="1"/>
  <c r="Q101" i="2"/>
  <c r="I97" i="3" s="1"/>
  <c r="O101" i="2"/>
  <c r="H97" i="3" s="1"/>
  <c r="B97" i="3" s="1"/>
  <c r="N101" i="2"/>
  <c r="G97" i="3" s="1"/>
  <c r="J101" i="2"/>
  <c r="K101" i="2" s="1"/>
  <c r="L101" i="2" s="1"/>
  <c r="M101" i="2" s="1"/>
  <c r="F97" i="3" s="1"/>
  <c r="N100" i="2"/>
  <c r="R100" i="2" s="1"/>
  <c r="J96" i="3" s="1"/>
  <c r="J100" i="2"/>
  <c r="K100" i="2" s="1"/>
  <c r="L100" i="2" s="1"/>
  <c r="M100" i="2" s="1"/>
  <c r="F96" i="3" s="1"/>
  <c r="R99" i="2"/>
  <c r="J95" i="3" s="1"/>
  <c r="Q99" i="2"/>
  <c r="I95" i="3" s="1"/>
  <c r="O99" i="2"/>
  <c r="H95" i="3" s="1"/>
  <c r="B95" i="3" s="1"/>
  <c r="N99" i="2"/>
  <c r="G95" i="3" s="1"/>
  <c r="J99" i="2"/>
  <c r="K99" i="2" s="1"/>
  <c r="L99" i="2" s="1"/>
  <c r="M99" i="2" s="1"/>
  <c r="F95" i="3" s="1"/>
  <c r="R98" i="2"/>
  <c r="J94" i="3" s="1"/>
  <c r="Q98" i="2"/>
  <c r="I94" i="3" s="1"/>
  <c r="O98" i="2"/>
  <c r="H94" i="3" s="1"/>
  <c r="B94" i="3" s="1"/>
  <c r="N98" i="2"/>
  <c r="G94" i="3" s="1"/>
  <c r="J98" i="2"/>
  <c r="K98" i="2" s="1"/>
  <c r="L98" i="2" s="1"/>
  <c r="M98" i="2" s="1"/>
  <c r="F94" i="3" s="1"/>
  <c r="R97" i="2"/>
  <c r="J93" i="3" s="1"/>
  <c r="Q97" i="2"/>
  <c r="I93" i="3" s="1"/>
  <c r="O97" i="2"/>
  <c r="H93" i="3" s="1"/>
  <c r="B93" i="3" s="1"/>
  <c r="N97" i="2"/>
  <c r="G93" i="3" s="1"/>
  <c r="J97" i="2"/>
  <c r="K97" i="2" s="1"/>
  <c r="L97" i="2" s="1"/>
  <c r="M97" i="2" s="1"/>
  <c r="F93" i="3" s="1"/>
  <c r="N96" i="2"/>
  <c r="O96" i="2" s="1"/>
  <c r="H92" i="3" s="1"/>
  <c r="B92" i="3" s="1"/>
  <c r="J96" i="2"/>
  <c r="K96" i="2" s="1"/>
  <c r="L96" i="2" s="1"/>
  <c r="M96" i="2" s="1"/>
  <c r="F92" i="3" s="1"/>
  <c r="N95" i="2"/>
  <c r="G91" i="3" s="1"/>
  <c r="J95" i="2"/>
  <c r="K95" i="2" s="1"/>
  <c r="L95" i="2" s="1"/>
  <c r="M95" i="2" s="1"/>
  <c r="F91" i="3" s="1"/>
  <c r="R94" i="2"/>
  <c r="J90" i="3" s="1"/>
  <c r="Q94" i="2"/>
  <c r="I90" i="3" s="1"/>
  <c r="O94" i="2"/>
  <c r="H90" i="3" s="1"/>
  <c r="B90" i="3" s="1"/>
  <c r="N94" i="2"/>
  <c r="G90" i="3" s="1"/>
  <c r="J94" i="2"/>
  <c r="K94" i="2" s="1"/>
  <c r="L94" i="2" s="1"/>
  <c r="M94" i="2" s="1"/>
  <c r="F90" i="3" s="1"/>
  <c r="R93" i="2"/>
  <c r="J89" i="3" s="1"/>
  <c r="Q93" i="2"/>
  <c r="I89" i="3" s="1"/>
  <c r="O93" i="2"/>
  <c r="H89" i="3" s="1"/>
  <c r="B89" i="3" s="1"/>
  <c r="N93" i="2"/>
  <c r="G89" i="3" s="1"/>
  <c r="J93" i="2"/>
  <c r="K93" i="2" s="1"/>
  <c r="L93" i="2" s="1"/>
  <c r="M93" i="2" s="1"/>
  <c r="F89" i="3" s="1"/>
  <c r="N92" i="2"/>
  <c r="G88" i="3" s="1"/>
  <c r="J92" i="2"/>
  <c r="K92" i="2" s="1"/>
  <c r="L92" i="2" s="1"/>
  <c r="M92" i="2" s="1"/>
  <c r="F88" i="3" s="1"/>
  <c r="N91" i="2"/>
  <c r="J91" i="2"/>
  <c r="K91" i="2" s="1"/>
  <c r="L91" i="2" s="1"/>
  <c r="M91" i="2" s="1"/>
  <c r="F87" i="3" s="1"/>
  <c r="N90" i="2"/>
  <c r="G86" i="3" s="1"/>
  <c r="J90" i="2"/>
  <c r="K90" i="2" s="1"/>
  <c r="L90" i="2" s="1"/>
  <c r="M90" i="2" s="1"/>
  <c r="F86" i="3" s="1"/>
  <c r="N89" i="2"/>
  <c r="G85" i="3" s="1"/>
  <c r="J89" i="2"/>
  <c r="K89" i="2" s="1"/>
  <c r="L89" i="2" s="1"/>
  <c r="M89" i="2" s="1"/>
  <c r="F85" i="3" s="1"/>
  <c r="N88" i="2"/>
  <c r="G84" i="3" s="1"/>
  <c r="J88" i="2"/>
  <c r="K88" i="2" s="1"/>
  <c r="L88" i="2" s="1"/>
  <c r="M88" i="2" s="1"/>
  <c r="F84" i="3" s="1"/>
  <c r="R87" i="2"/>
  <c r="J83" i="3" s="1"/>
  <c r="O87" i="2"/>
  <c r="H83" i="3" s="1"/>
  <c r="B83" i="3" s="1"/>
  <c r="N87" i="2"/>
  <c r="G83" i="3" s="1"/>
  <c r="J87" i="2"/>
  <c r="K87" i="2" s="1"/>
  <c r="L87" i="2" s="1"/>
  <c r="M87" i="2" s="1"/>
  <c r="F83" i="3" s="1"/>
  <c r="R86" i="2"/>
  <c r="J82" i="3" s="1"/>
  <c r="O86" i="2"/>
  <c r="H82" i="3" s="1"/>
  <c r="B82" i="3" s="1"/>
  <c r="N86" i="2"/>
  <c r="G82" i="3" s="1"/>
  <c r="J86" i="2"/>
  <c r="K86" i="2" s="1"/>
  <c r="L86" i="2" s="1"/>
  <c r="M86" i="2" s="1"/>
  <c r="F82" i="3" s="1"/>
  <c r="N85" i="2"/>
  <c r="G81" i="3" s="1"/>
  <c r="J85" i="2"/>
  <c r="K85" i="2" s="1"/>
  <c r="L85" i="2" s="1"/>
  <c r="M85" i="2" s="1"/>
  <c r="F81" i="3" s="1"/>
  <c r="N84" i="2"/>
  <c r="G80" i="3" s="1"/>
  <c r="J84" i="2"/>
  <c r="K84" i="2" s="1"/>
  <c r="L84" i="2" s="1"/>
  <c r="M84" i="2" s="1"/>
  <c r="F80" i="3" s="1"/>
  <c r="N83" i="2"/>
  <c r="G79" i="3" s="1"/>
  <c r="J83" i="2"/>
  <c r="K83" i="2" s="1"/>
  <c r="L83" i="2" s="1"/>
  <c r="M83" i="2" s="1"/>
  <c r="F79" i="3" s="1"/>
  <c r="N82" i="2"/>
  <c r="G78" i="3" s="1"/>
  <c r="J82" i="2"/>
  <c r="K82" i="2" s="1"/>
  <c r="L82" i="2" s="1"/>
  <c r="M82" i="2" s="1"/>
  <c r="F78" i="3" s="1"/>
  <c r="N81" i="2"/>
  <c r="G77" i="3" s="1"/>
  <c r="J81" i="2"/>
  <c r="K81" i="2" s="1"/>
  <c r="L81" i="2" s="1"/>
  <c r="M81" i="2" s="1"/>
  <c r="F77" i="3" s="1"/>
  <c r="N80" i="2"/>
  <c r="G76" i="3" s="1"/>
  <c r="J80" i="2"/>
  <c r="K80" i="2" s="1"/>
  <c r="L80" i="2" s="1"/>
  <c r="M80" i="2" s="1"/>
  <c r="F76" i="3" s="1"/>
  <c r="N79" i="2"/>
  <c r="G75" i="3" s="1"/>
  <c r="J79" i="2"/>
  <c r="K79" i="2" s="1"/>
  <c r="L79" i="2" s="1"/>
  <c r="M79" i="2" s="1"/>
  <c r="F75" i="3" s="1"/>
  <c r="N78" i="2"/>
  <c r="G73" i="3" s="1"/>
  <c r="J78" i="2"/>
  <c r="K78" i="2" s="1"/>
  <c r="L78" i="2" s="1"/>
  <c r="M78" i="2" s="1"/>
  <c r="F73" i="3" s="1"/>
  <c r="N77" i="2"/>
  <c r="G72" i="3" s="1"/>
  <c r="J77" i="2"/>
  <c r="K77" i="2" s="1"/>
  <c r="L77" i="2" s="1"/>
  <c r="M77" i="2" s="1"/>
  <c r="F72" i="3" s="1"/>
  <c r="N76" i="2"/>
  <c r="G71" i="3" s="1"/>
  <c r="J76" i="2"/>
  <c r="K76" i="2" s="1"/>
  <c r="L76" i="2" s="1"/>
  <c r="M76" i="2" s="1"/>
  <c r="F71" i="3" s="1"/>
  <c r="N75" i="2"/>
  <c r="G70" i="3" s="1"/>
  <c r="J75" i="2"/>
  <c r="K75" i="2" s="1"/>
  <c r="L75" i="2" s="1"/>
  <c r="M75" i="2" s="1"/>
  <c r="F70" i="3" s="1"/>
  <c r="N74" i="2"/>
  <c r="F74" i="2"/>
  <c r="N73" i="2"/>
  <c r="R73" i="2" s="1"/>
  <c r="J68" i="3" s="1"/>
  <c r="F73" i="2"/>
  <c r="J73" i="2" s="1"/>
  <c r="K73" i="2" s="1"/>
  <c r="L73" i="2" s="1"/>
  <c r="M73" i="2" s="1"/>
  <c r="F68" i="3" s="1"/>
  <c r="N72" i="2"/>
  <c r="F72" i="2"/>
  <c r="J72" i="2" s="1"/>
  <c r="K72" i="2" s="1"/>
  <c r="L72" i="2" s="1"/>
  <c r="M72" i="2" s="1"/>
  <c r="F67" i="3" s="1"/>
  <c r="N71" i="2"/>
  <c r="G66" i="3" s="1"/>
  <c r="J71" i="2"/>
  <c r="K71" i="2" s="1"/>
  <c r="L71" i="2" s="1"/>
  <c r="M71" i="2" s="1"/>
  <c r="F66" i="3" s="1"/>
  <c r="N70" i="2"/>
  <c r="R70" i="2" s="1"/>
  <c r="J65" i="3" s="1"/>
  <c r="J70" i="2"/>
  <c r="K70" i="2" s="1"/>
  <c r="L70" i="2" s="1"/>
  <c r="M70" i="2" s="1"/>
  <c r="F65" i="3" s="1"/>
  <c r="R69" i="2"/>
  <c r="J64" i="3" s="1"/>
  <c r="Q69" i="2"/>
  <c r="I64" i="3" s="1"/>
  <c r="O69" i="2"/>
  <c r="H64" i="3" s="1"/>
  <c r="B64" i="3" s="1"/>
  <c r="N69" i="2"/>
  <c r="G64" i="3" s="1"/>
  <c r="J69" i="2"/>
  <c r="K69" i="2" s="1"/>
  <c r="L69" i="2" s="1"/>
  <c r="M69" i="2" s="1"/>
  <c r="F64" i="3" s="1"/>
  <c r="R68" i="2"/>
  <c r="J63" i="3" s="1"/>
  <c r="Q68" i="2"/>
  <c r="I63" i="3" s="1"/>
  <c r="P68" i="2"/>
  <c r="K63" i="3" s="1"/>
  <c r="O68" i="2"/>
  <c r="H63" i="3" s="1"/>
  <c r="B63" i="3" s="1"/>
  <c r="N68" i="2"/>
  <c r="G63" i="3" s="1"/>
  <c r="J68" i="2"/>
  <c r="K68" i="2" s="1"/>
  <c r="L68" i="2" s="1"/>
  <c r="M68" i="2" s="1"/>
  <c r="F63" i="3" s="1"/>
  <c r="N67" i="2"/>
  <c r="R67" i="2" s="1"/>
  <c r="J67" i="2"/>
  <c r="K67" i="2" s="1"/>
  <c r="L67" i="2" s="1"/>
  <c r="M67" i="2" s="1"/>
  <c r="F62" i="3" s="1"/>
  <c r="N66" i="2"/>
  <c r="Q66" i="2" s="1"/>
  <c r="I61" i="3" s="1"/>
  <c r="J66" i="2"/>
  <c r="K66" i="2" s="1"/>
  <c r="L66" i="2" s="1"/>
  <c r="M66" i="2" s="1"/>
  <c r="F61" i="3" s="1"/>
  <c r="R65" i="2"/>
  <c r="J60" i="3" s="1"/>
  <c r="Q65" i="2"/>
  <c r="I60" i="3" s="1"/>
  <c r="O65" i="2"/>
  <c r="H60" i="3" s="1"/>
  <c r="B60" i="3" s="1"/>
  <c r="N65" i="2"/>
  <c r="G60" i="3" s="1"/>
  <c r="J65" i="2"/>
  <c r="K65" i="2" s="1"/>
  <c r="L65" i="2" s="1"/>
  <c r="M65" i="2" s="1"/>
  <c r="F60" i="3" s="1"/>
  <c r="O64" i="2"/>
  <c r="Q64" i="2" s="1"/>
  <c r="I59" i="3" s="1"/>
  <c r="N64" i="2"/>
  <c r="G59" i="3" s="1"/>
  <c r="J64" i="2"/>
  <c r="K64" i="2" s="1"/>
  <c r="L64" i="2" s="1"/>
  <c r="M64" i="2" s="1"/>
  <c r="F59" i="3" s="1"/>
  <c r="O63" i="2"/>
  <c r="Q63" i="2" s="1"/>
  <c r="I58" i="3" s="1"/>
  <c r="N63" i="2"/>
  <c r="G58" i="3" s="1"/>
  <c r="J63" i="2"/>
  <c r="K63" i="2" s="1"/>
  <c r="L63" i="2" s="1"/>
  <c r="M63" i="2" s="1"/>
  <c r="F58" i="3" s="1"/>
  <c r="O62" i="2"/>
  <c r="N62" i="2"/>
  <c r="G57" i="3" s="1"/>
  <c r="J62" i="2"/>
  <c r="K62" i="2" s="1"/>
  <c r="L62" i="2" s="1"/>
  <c r="M62" i="2" s="1"/>
  <c r="F57" i="3" s="1"/>
  <c r="O61" i="2"/>
  <c r="H56" i="3" s="1"/>
  <c r="B56" i="3" s="1"/>
  <c r="N61" i="2"/>
  <c r="G56" i="3" s="1"/>
  <c r="J61" i="2"/>
  <c r="K61" i="2" s="1"/>
  <c r="L61" i="2" s="1"/>
  <c r="M61" i="2" s="1"/>
  <c r="F56" i="3" s="1"/>
  <c r="O60" i="2"/>
  <c r="N60" i="2"/>
  <c r="G55" i="3" s="1"/>
  <c r="J60" i="2"/>
  <c r="K60" i="2" s="1"/>
  <c r="L60" i="2" s="1"/>
  <c r="M60" i="2" s="1"/>
  <c r="F55" i="3" s="1"/>
  <c r="O59" i="2"/>
  <c r="H54" i="3" s="1"/>
  <c r="B54" i="3" s="1"/>
  <c r="N59" i="2"/>
  <c r="G54" i="3" s="1"/>
  <c r="J59" i="2"/>
  <c r="K59" i="2" s="1"/>
  <c r="L59" i="2" s="1"/>
  <c r="M59" i="2" s="1"/>
  <c r="F54" i="3" s="1"/>
  <c r="O58" i="2"/>
  <c r="H53" i="3" s="1"/>
  <c r="B53" i="3" s="1"/>
  <c r="N58" i="2"/>
  <c r="G53" i="3" s="1"/>
  <c r="J58" i="2"/>
  <c r="K58" i="2" s="1"/>
  <c r="L58" i="2" s="1"/>
  <c r="M58" i="2" s="1"/>
  <c r="F53" i="3" s="1"/>
  <c r="O57" i="2"/>
  <c r="N57" i="2"/>
  <c r="G52" i="3" s="1"/>
  <c r="J57" i="2"/>
  <c r="K57" i="2" s="1"/>
  <c r="L57" i="2" s="1"/>
  <c r="M57" i="2" s="1"/>
  <c r="F52" i="3" s="1"/>
  <c r="N56" i="2"/>
  <c r="J56" i="2"/>
  <c r="K56" i="2" s="1"/>
  <c r="L56" i="2" s="1"/>
  <c r="M56" i="2" s="1"/>
  <c r="F51" i="3" s="1"/>
  <c r="N55" i="2"/>
  <c r="G50" i="3" s="1"/>
  <c r="L55" i="2"/>
  <c r="F55" i="2"/>
  <c r="N54" i="2"/>
  <c r="Q54" i="2" s="1"/>
  <c r="I49" i="3" s="1"/>
  <c r="L54" i="2"/>
  <c r="F54" i="2"/>
  <c r="J54" i="2" s="1"/>
  <c r="N53" i="2"/>
  <c r="G48" i="3" s="1"/>
  <c r="J53" i="2"/>
  <c r="K53" i="2" s="1"/>
  <c r="L53" i="2" s="1"/>
  <c r="M53" i="2" s="1"/>
  <c r="F48" i="3" s="1"/>
  <c r="N52" i="2"/>
  <c r="G47" i="3" s="1"/>
  <c r="F52" i="2"/>
  <c r="N51" i="2"/>
  <c r="J51" i="2"/>
  <c r="K51" i="2" s="1"/>
  <c r="L51" i="2" s="1"/>
  <c r="M51" i="2" s="1"/>
  <c r="F46" i="3" s="1"/>
  <c r="N50" i="2"/>
  <c r="R50" i="2" s="1"/>
  <c r="J45" i="3" s="1"/>
  <c r="L50" i="2"/>
  <c r="F50" i="2"/>
  <c r="J50" i="2" s="1"/>
  <c r="N49" i="2"/>
  <c r="G44" i="3" s="1"/>
  <c r="J49" i="2"/>
  <c r="K49" i="2" s="1"/>
  <c r="L49" i="2" s="1"/>
  <c r="M49" i="2" s="1"/>
  <c r="F44" i="3" s="1"/>
  <c r="N48" i="2"/>
  <c r="G43" i="3" s="1"/>
  <c r="F48" i="2"/>
  <c r="N47" i="2"/>
  <c r="J47" i="2"/>
  <c r="K47" i="2" s="1"/>
  <c r="L47" i="2" s="1"/>
  <c r="M47" i="2" s="1"/>
  <c r="F42" i="3" s="1"/>
  <c r="N46" i="2"/>
  <c r="G41" i="3" s="1"/>
  <c r="L46" i="2"/>
  <c r="F46" i="2"/>
  <c r="J46" i="2" s="1"/>
  <c r="K46" i="2" s="1"/>
  <c r="N45" i="2"/>
  <c r="G40" i="3" s="1"/>
  <c r="L45" i="2"/>
  <c r="F45" i="2"/>
  <c r="J45" i="2" s="1"/>
  <c r="N44" i="2"/>
  <c r="J44" i="2"/>
  <c r="K44" i="2" s="1"/>
  <c r="L44" i="2" s="1"/>
  <c r="M44" i="2" s="1"/>
  <c r="F39" i="3" s="1"/>
  <c r="N43" i="2"/>
  <c r="G38" i="3" s="1"/>
  <c r="F43" i="2"/>
  <c r="J43" i="2" s="1"/>
  <c r="K43" i="2" s="1"/>
  <c r="L43" i="2" s="1"/>
  <c r="M43" i="2" s="1"/>
  <c r="F38" i="3" s="1"/>
  <c r="N42" i="2"/>
  <c r="G37" i="3" s="1"/>
  <c r="J42" i="2"/>
  <c r="K42" i="2" s="1"/>
  <c r="L42" i="2" s="1"/>
  <c r="M42" i="2" s="1"/>
  <c r="F37" i="3" s="1"/>
  <c r="N41" i="2"/>
  <c r="G36" i="3" s="1"/>
  <c r="L41" i="2"/>
  <c r="F41" i="2"/>
  <c r="N40" i="2"/>
  <c r="Q40" i="2" s="1"/>
  <c r="I35" i="3" s="1"/>
  <c r="J40" i="2"/>
  <c r="K40" i="2" s="1"/>
  <c r="L40" i="2" s="1"/>
  <c r="M40" i="2" s="1"/>
  <c r="F35" i="3" s="1"/>
  <c r="N39" i="2"/>
  <c r="F39" i="2"/>
  <c r="R38" i="2"/>
  <c r="N38" i="2"/>
  <c r="J38" i="2"/>
  <c r="K38" i="2" s="1"/>
  <c r="L38" i="2" s="1"/>
  <c r="M38" i="2" s="1"/>
  <c r="F33" i="3" s="1"/>
  <c r="R37" i="2"/>
  <c r="J32" i="3" s="1"/>
  <c r="Q37" i="2"/>
  <c r="O37" i="2"/>
  <c r="H32" i="3" s="1"/>
  <c r="B32" i="3" s="1"/>
  <c r="N37" i="2"/>
  <c r="G32" i="3" s="1"/>
  <c r="J37" i="2"/>
  <c r="K37" i="2" s="1"/>
  <c r="L37" i="2" s="1"/>
  <c r="M37" i="2" s="1"/>
  <c r="F32" i="3" s="1"/>
  <c r="Q34" i="2"/>
  <c r="I29" i="3" s="1"/>
  <c r="O34" i="2"/>
  <c r="H29" i="3" s="1"/>
  <c r="B29" i="3" s="1"/>
  <c r="N34" i="2"/>
  <c r="G29" i="3" s="1"/>
  <c r="J34" i="2"/>
  <c r="K34" i="2" s="1"/>
  <c r="L34" i="2" s="1"/>
  <c r="M34" i="2" s="1"/>
  <c r="F29" i="3" s="1"/>
  <c r="Q33" i="2"/>
  <c r="I28" i="3" s="1"/>
  <c r="O33" i="2"/>
  <c r="H28" i="3" s="1"/>
  <c r="B28" i="3" s="1"/>
  <c r="N33" i="2"/>
  <c r="G28" i="3" s="1"/>
  <c r="J33" i="2"/>
  <c r="K33" i="2" s="1"/>
  <c r="L33" i="2" s="1"/>
  <c r="M33" i="2" s="1"/>
  <c r="F28" i="3" s="1"/>
  <c r="Q32" i="2"/>
  <c r="I27" i="3" s="1"/>
  <c r="O32" i="2"/>
  <c r="H27" i="3" s="1"/>
  <c r="B27" i="3" s="1"/>
  <c r="N32" i="2"/>
  <c r="J32" i="2"/>
  <c r="K32" i="2" s="1"/>
  <c r="L32" i="2" s="1"/>
  <c r="M32" i="2" s="1"/>
  <c r="F27" i="3" s="1"/>
  <c r="Q31" i="2"/>
  <c r="I26" i="3" s="1"/>
  <c r="O31" i="2"/>
  <c r="H26" i="3" s="1"/>
  <c r="B26" i="3" s="1"/>
  <c r="N31" i="2"/>
  <c r="G26" i="3" s="1"/>
  <c r="J31" i="2"/>
  <c r="K31" i="2" s="1"/>
  <c r="L31" i="2" s="1"/>
  <c r="M31" i="2" s="1"/>
  <c r="F26" i="3" s="1"/>
  <c r="Q30" i="2"/>
  <c r="I25" i="3" s="1"/>
  <c r="O30" i="2"/>
  <c r="H25" i="3" s="1"/>
  <c r="B25" i="3" s="1"/>
  <c r="N30" i="2"/>
  <c r="G25" i="3" s="1"/>
  <c r="J30" i="2"/>
  <c r="K30" i="2" s="1"/>
  <c r="L30" i="2" s="1"/>
  <c r="M30" i="2" s="1"/>
  <c r="F25" i="3" s="1"/>
  <c r="Q29" i="2"/>
  <c r="I24" i="3" s="1"/>
  <c r="O29" i="2"/>
  <c r="H24" i="3" s="1"/>
  <c r="B24" i="3" s="1"/>
  <c r="N29" i="2"/>
  <c r="G24" i="3" s="1"/>
  <c r="J29" i="2"/>
  <c r="K29" i="2" s="1"/>
  <c r="L29" i="2" s="1"/>
  <c r="M29" i="2" s="1"/>
  <c r="F24" i="3" s="1"/>
  <c r="Q28" i="2"/>
  <c r="I23" i="3" s="1"/>
  <c r="O28" i="2"/>
  <c r="H23" i="3" s="1"/>
  <c r="B23" i="3" s="1"/>
  <c r="N28" i="2"/>
  <c r="G23" i="3" s="1"/>
  <c r="J28" i="2"/>
  <c r="K28" i="2" s="1"/>
  <c r="L28" i="2" s="1"/>
  <c r="M28" i="2" s="1"/>
  <c r="F23" i="3" s="1"/>
  <c r="Q27" i="2"/>
  <c r="I22" i="3" s="1"/>
  <c r="N27" i="2"/>
  <c r="G22" i="3" s="1"/>
  <c r="J27" i="2"/>
  <c r="K27" i="2" s="1"/>
  <c r="L27" i="2" s="1"/>
  <c r="M27" i="2" s="1"/>
  <c r="F22" i="3" s="1"/>
  <c r="Q26" i="2"/>
  <c r="I21" i="3" s="1"/>
  <c r="N26" i="2"/>
  <c r="G21" i="3" s="1"/>
  <c r="J26" i="2"/>
  <c r="K26" i="2" s="1"/>
  <c r="L26" i="2" s="1"/>
  <c r="M26" i="2" s="1"/>
  <c r="F21" i="3" s="1"/>
  <c r="Q25" i="2"/>
  <c r="I20" i="3" s="1"/>
  <c r="N25" i="2"/>
  <c r="G20" i="3" s="1"/>
  <c r="J25" i="2"/>
  <c r="K25" i="2" s="1"/>
  <c r="L25" i="2" s="1"/>
  <c r="M25" i="2" s="1"/>
  <c r="F20" i="3" s="1"/>
  <c r="Q24" i="2"/>
  <c r="I19" i="3" s="1"/>
  <c r="N24" i="2"/>
  <c r="G19" i="3" s="1"/>
  <c r="J24" i="2"/>
  <c r="K24" i="2" s="1"/>
  <c r="L24" i="2" s="1"/>
  <c r="M24" i="2" s="1"/>
  <c r="F19" i="3" s="1"/>
  <c r="Q23" i="2"/>
  <c r="I18" i="3" s="1"/>
  <c r="N23" i="2"/>
  <c r="G18" i="3" s="1"/>
  <c r="J23" i="2"/>
  <c r="K23" i="2" s="1"/>
  <c r="L23" i="2" s="1"/>
  <c r="M23" i="2" s="1"/>
  <c r="F18" i="3" s="1"/>
  <c r="CA22" i="2"/>
  <c r="BZ22" i="2"/>
  <c r="BY22" i="2"/>
  <c r="BX22" i="2"/>
  <c r="BU22" i="2"/>
  <c r="BT22" i="2"/>
  <c r="BS22" i="2"/>
  <c r="BR22" i="2"/>
  <c r="BO22" i="2"/>
  <c r="BN22" i="2"/>
  <c r="BM22" i="2"/>
  <c r="BL22" i="2"/>
  <c r="BI22" i="2"/>
  <c r="BH22" i="2"/>
  <c r="BG22" i="2"/>
  <c r="BF22" i="2"/>
  <c r="BC22" i="2"/>
  <c r="BB22" i="2"/>
  <c r="BA22" i="2"/>
  <c r="AZ22" i="2"/>
  <c r="AW22" i="2"/>
  <c r="AV22" i="2"/>
  <c r="AU22" i="2"/>
  <c r="AT22" i="2"/>
  <c r="AE22" i="2"/>
  <c r="AD22" i="2"/>
  <c r="AC22" i="2"/>
  <c r="AB22" i="2"/>
  <c r="O22" i="2"/>
  <c r="H17" i="3" s="1"/>
  <c r="B17" i="3" s="1"/>
  <c r="N22" i="2"/>
  <c r="J22" i="2"/>
  <c r="K22" i="2" s="1"/>
  <c r="L22" i="2" s="1"/>
  <c r="M22" i="2" s="1"/>
  <c r="F17" i="3" s="1"/>
  <c r="BY21" i="2"/>
  <c r="BU21" i="2"/>
  <c r="BT21" i="2"/>
  <c r="BS21" i="2"/>
  <c r="BR21" i="2"/>
  <c r="BM21" i="2"/>
  <c r="BL21" i="2"/>
  <c r="BG21" i="2"/>
  <c r="BF21" i="2"/>
  <c r="BB21" i="2"/>
  <c r="BA21" i="2"/>
  <c r="AZ21" i="2"/>
  <c r="AC21" i="2"/>
  <c r="O21" i="2"/>
  <c r="H16" i="3" s="1"/>
  <c r="B16" i="3" s="1"/>
  <c r="N21" i="2"/>
  <c r="R21" i="2" s="1"/>
  <c r="J21" i="2"/>
  <c r="K21" i="2" s="1"/>
  <c r="L21" i="2" s="1"/>
  <c r="M21" i="2" s="1"/>
  <c r="F16" i="3" s="1"/>
  <c r="CA20" i="2"/>
  <c r="BY20" i="2"/>
  <c r="BX20" i="2"/>
  <c r="BT20" i="2"/>
  <c r="BS20" i="2"/>
  <c r="BR20" i="2"/>
  <c r="BM20" i="2"/>
  <c r="BG20" i="2"/>
  <c r="BA20" i="2"/>
  <c r="AC20" i="2"/>
  <c r="O20" i="2"/>
  <c r="H15" i="3" s="1"/>
  <c r="B15" i="3" s="1"/>
  <c r="N20" i="2"/>
  <c r="G15" i="3" s="1"/>
  <c r="J20" i="2"/>
  <c r="K20" i="2" s="1"/>
  <c r="L20" i="2" s="1"/>
  <c r="M20" i="2" s="1"/>
  <c r="F15" i="3" s="1"/>
  <c r="CA19" i="2"/>
  <c r="BZ19" i="2"/>
  <c r="BY19" i="2"/>
  <c r="BT19" i="2"/>
  <c r="BS19" i="2"/>
  <c r="BR19" i="2"/>
  <c r="BO19" i="2"/>
  <c r="BN19" i="2"/>
  <c r="BM19" i="2"/>
  <c r="BL19" i="2"/>
  <c r="BG19" i="2"/>
  <c r="BA19" i="2"/>
  <c r="AC19" i="2"/>
  <c r="O19" i="2"/>
  <c r="H14" i="3" s="1"/>
  <c r="B14" i="3" s="1"/>
  <c r="N19" i="2"/>
  <c r="J19" i="2"/>
  <c r="K19" i="2" s="1"/>
  <c r="L19" i="2" s="1"/>
  <c r="M19" i="2" s="1"/>
  <c r="F14" i="3" s="1"/>
  <c r="CA18" i="2"/>
  <c r="BZ18" i="2"/>
  <c r="BY18" i="2"/>
  <c r="BX18" i="2"/>
  <c r="BU18" i="2"/>
  <c r="BT18" i="2"/>
  <c r="BS18" i="2"/>
  <c r="BR18" i="2"/>
  <c r="BO18" i="2"/>
  <c r="BN18" i="2"/>
  <c r="BM18" i="2"/>
  <c r="BL18" i="2"/>
  <c r="BI18" i="2"/>
  <c r="BH18" i="2"/>
  <c r="BG18" i="2"/>
  <c r="BF18" i="2"/>
  <c r="BC18" i="2"/>
  <c r="BB18" i="2"/>
  <c r="BA18" i="2"/>
  <c r="AZ18" i="2"/>
  <c r="AW18" i="2"/>
  <c r="AV18" i="2"/>
  <c r="AU18" i="2"/>
  <c r="AT18" i="2"/>
  <c r="AE18" i="2"/>
  <c r="AD18" i="2"/>
  <c r="AC18" i="2"/>
  <c r="AB18" i="2"/>
  <c r="O18" i="2"/>
  <c r="H13" i="3" s="1"/>
  <c r="B13" i="3" s="1"/>
  <c r="N18" i="2"/>
  <c r="J18" i="2"/>
  <c r="K18" i="2" s="1"/>
  <c r="L18" i="2" s="1"/>
  <c r="M18" i="2" s="1"/>
  <c r="F13" i="3" s="1"/>
  <c r="CA17" i="2"/>
  <c r="BZ17" i="2"/>
  <c r="BY17" i="2"/>
  <c r="BX17" i="2"/>
  <c r="BU17" i="2"/>
  <c r="BT17" i="2"/>
  <c r="BS17" i="2"/>
  <c r="BR17" i="2"/>
  <c r="BO17" i="2"/>
  <c r="BN17" i="2"/>
  <c r="BM17" i="2"/>
  <c r="BL17" i="2"/>
  <c r="BI17" i="2"/>
  <c r="BH17" i="2"/>
  <c r="BG17" i="2"/>
  <c r="BF17" i="2"/>
  <c r="BC17" i="2"/>
  <c r="BB17" i="2"/>
  <c r="BA17" i="2"/>
  <c r="AZ17" i="2"/>
  <c r="AW17" i="2"/>
  <c r="AV17" i="2"/>
  <c r="AU17" i="2"/>
  <c r="AT17" i="2"/>
  <c r="AE17" i="2"/>
  <c r="AD17" i="2"/>
  <c r="AC17" i="2"/>
  <c r="AB17" i="2"/>
  <c r="O17" i="2"/>
  <c r="H12" i="3" s="1"/>
  <c r="B12" i="3" s="1"/>
  <c r="N17" i="2"/>
  <c r="G12" i="3" s="1"/>
  <c r="J17" i="2"/>
  <c r="K17" i="2" s="1"/>
  <c r="L17" i="2" s="1"/>
  <c r="M17" i="2" s="1"/>
  <c r="F12" i="3" s="1"/>
  <c r="CA16" i="2"/>
  <c r="BZ16" i="2"/>
  <c r="BY16" i="2"/>
  <c r="BX16" i="2"/>
  <c r="BU16" i="2"/>
  <c r="BT16" i="2"/>
  <c r="BS16" i="2"/>
  <c r="BR16" i="2"/>
  <c r="BO16" i="2"/>
  <c r="BN16" i="2"/>
  <c r="BM16" i="2"/>
  <c r="BL16" i="2"/>
  <c r="BI16" i="2"/>
  <c r="BH16" i="2"/>
  <c r="BG16" i="2"/>
  <c r="BF16" i="2"/>
  <c r="BC16" i="2"/>
  <c r="BB16" i="2"/>
  <c r="BA16" i="2"/>
  <c r="AZ16" i="2"/>
  <c r="AW16" i="2"/>
  <c r="AV16" i="2"/>
  <c r="AU16" i="2"/>
  <c r="AT16" i="2"/>
  <c r="AE16" i="2"/>
  <c r="AD16" i="2"/>
  <c r="AC16" i="2"/>
  <c r="AB16" i="2"/>
  <c r="O16" i="2"/>
  <c r="H11" i="3" s="1"/>
  <c r="B11" i="3" s="1"/>
  <c r="N16" i="2"/>
  <c r="R16" i="2" s="1"/>
  <c r="J11" i="3" s="1"/>
  <c r="J16" i="2"/>
  <c r="K16" i="2" s="1"/>
  <c r="L16" i="2" s="1"/>
  <c r="M16" i="2" s="1"/>
  <c r="F11" i="3" s="1"/>
  <c r="CA15" i="2"/>
  <c r="BZ15" i="2"/>
  <c r="BY15" i="2"/>
  <c r="BX15" i="2"/>
  <c r="BU15" i="2"/>
  <c r="BT15" i="2"/>
  <c r="BS15" i="2"/>
  <c r="BR15" i="2"/>
  <c r="BO15" i="2"/>
  <c r="BN15" i="2"/>
  <c r="BM15" i="2"/>
  <c r="BL15" i="2"/>
  <c r="BI15" i="2"/>
  <c r="BH15" i="2"/>
  <c r="BG15" i="2"/>
  <c r="BF15" i="2"/>
  <c r="BC15" i="2"/>
  <c r="BB15" i="2"/>
  <c r="BA15" i="2"/>
  <c r="AZ15" i="2"/>
  <c r="AW15" i="2"/>
  <c r="AV15" i="2"/>
  <c r="AU15" i="2"/>
  <c r="AT15" i="2"/>
  <c r="AE15" i="2"/>
  <c r="AD15" i="2"/>
  <c r="AC15" i="2"/>
  <c r="AB15" i="2"/>
  <c r="O15" i="2"/>
  <c r="B10" i="3" s="1"/>
  <c r="C10" i="3" s="1"/>
  <c r="N15" i="2"/>
  <c r="J15" i="2"/>
  <c r="K15" i="2" s="1"/>
  <c r="L15" i="2" s="1"/>
  <c r="M15" i="2" s="1"/>
  <c r="CA14" i="2"/>
  <c r="BZ14" i="2"/>
  <c r="BY14" i="2"/>
  <c r="BX14" i="2"/>
  <c r="BU14" i="2"/>
  <c r="BT14" i="2"/>
  <c r="BS14" i="2"/>
  <c r="BR14" i="2"/>
  <c r="BO14" i="2"/>
  <c r="BN14" i="2"/>
  <c r="BM14" i="2"/>
  <c r="BL14" i="2"/>
  <c r="BI14" i="2"/>
  <c r="BH14" i="2"/>
  <c r="BG14" i="2"/>
  <c r="BF14" i="2"/>
  <c r="BC14" i="2"/>
  <c r="BB14" i="2"/>
  <c r="BA14" i="2"/>
  <c r="AZ14" i="2"/>
  <c r="AW14" i="2"/>
  <c r="AV14" i="2"/>
  <c r="AU14" i="2"/>
  <c r="AT14" i="2"/>
  <c r="AE14" i="2"/>
  <c r="AD14" i="2"/>
  <c r="AC14" i="2"/>
  <c r="AB14" i="2"/>
  <c r="B208" i="1"/>
  <c r="B198" i="1"/>
  <c r="B196" i="1"/>
  <c r="B194" i="1"/>
  <c r="B192" i="1"/>
  <c r="B190" i="1"/>
  <c r="B187" i="1"/>
  <c r="B186" i="1"/>
  <c r="B185" i="1"/>
  <c r="B184" i="1"/>
  <c r="B181" i="1"/>
  <c r="B180" i="1"/>
  <c r="B179" i="1"/>
  <c r="B178" i="1"/>
  <c r="B177" i="1"/>
  <c r="B174" i="1"/>
  <c r="B173" i="1"/>
  <c r="B172" i="1"/>
  <c r="B171" i="1"/>
  <c r="B170" i="1"/>
  <c r="B168" i="1"/>
  <c r="B160" i="1"/>
  <c r="B158" i="1"/>
  <c r="B151" i="1"/>
  <c r="B149" i="1"/>
  <c r="B147" i="1"/>
  <c r="B145" i="1"/>
  <c r="B142" i="1"/>
  <c r="B139" i="1"/>
  <c r="B137" i="1"/>
  <c r="B131" i="1"/>
  <c r="B124" i="1"/>
  <c r="B121" i="1"/>
  <c r="B119" i="1"/>
  <c r="B110" i="1"/>
  <c r="B108" i="1"/>
  <c r="B106" i="1"/>
  <c r="B104" i="1"/>
  <c r="C39" i="1"/>
  <c r="C38" i="1"/>
  <c r="D27" i="1"/>
  <c r="C23" i="1"/>
  <c r="C22" i="1"/>
  <c r="C21" i="1"/>
  <c r="C20" i="1"/>
  <c r="C19" i="1"/>
  <c r="C18" i="1"/>
  <c r="C17" i="1"/>
  <c r="C16" i="1"/>
  <c r="C15" i="1"/>
  <c r="C14" i="1"/>
  <c r="C13" i="1"/>
  <c r="N6" i="1"/>
  <c r="C6" i="1" s="1"/>
  <c r="N5" i="1"/>
  <c r="C94" i="1" s="1"/>
  <c r="E8" i="4"/>
  <c r="E7" i="4"/>
  <c r="E5" i="4"/>
  <c r="I4" i="4"/>
  <c r="F226" i="5" l="1"/>
  <c r="N226" i="5" s="1"/>
  <c r="B226" i="5" s="1"/>
  <c r="F187" i="5"/>
  <c r="N187" i="5" s="1"/>
  <c r="B187" i="5" s="1"/>
  <c r="F317" i="5"/>
  <c r="N317" i="5" s="1"/>
  <c r="B317" i="5" s="1"/>
  <c r="R104" i="2"/>
  <c r="J100" i="3" s="1"/>
  <c r="Q138" i="2"/>
  <c r="I134" i="3" s="1"/>
  <c r="R138" i="2"/>
  <c r="J134" i="3" s="1"/>
  <c r="L7" i="6"/>
  <c r="L10" i="6"/>
  <c r="M46" i="2"/>
  <c r="F41" i="3" s="1"/>
  <c r="O49" i="2"/>
  <c r="H44" i="3" s="1"/>
  <c r="B44" i="3" s="1"/>
  <c r="R29" i="2"/>
  <c r="J24" i="3" s="1"/>
  <c r="AP18" i="2"/>
  <c r="F254" i="5"/>
  <c r="N254" i="5" s="1"/>
  <c r="B254" i="5" s="1"/>
  <c r="F257" i="5"/>
  <c r="N257" i="5" s="1"/>
  <c r="B257" i="5" s="1"/>
  <c r="F263" i="5"/>
  <c r="N263" i="5" s="1"/>
  <c r="B263" i="5" s="1"/>
  <c r="Q43" i="2"/>
  <c r="I38" i="3" s="1"/>
  <c r="Q130" i="2"/>
  <c r="I126" i="3" s="1"/>
  <c r="F298" i="5"/>
  <c r="N298" i="5" s="1"/>
  <c r="B298" i="5" s="1"/>
  <c r="F315" i="5"/>
  <c r="N315" i="5" s="1"/>
  <c r="B315" i="5" s="1"/>
  <c r="F208" i="5"/>
  <c r="N208" i="5" s="1"/>
  <c r="B208" i="5" s="1"/>
  <c r="Q53" i="2"/>
  <c r="I48" i="3" s="1"/>
  <c r="F275" i="5"/>
  <c r="N275" i="5" s="1"/>
  <c r="B275" i="5" s="1"/>
  <c r="R112" i="2"/>
  <c r="J108" i="3" s="1"/>
  <c r="F228" i="5"/>
  <c r="N228" i="5" s="1"/>
  <c r="B228" i="5" s="1"/>
  <c r="F236" i="5"/>
  <c r="N236" i="5" s="1"/>
  <c r="B236" i="5" s="1"/>
  <c r="F244" i="5"/>
  <c r="N244" i="5" s="1"/>
  <c r="B244" i="5" s="1"/>
  <c r="F256" i="5"/>
  <c r="N256" i="5" s="1"/>
  <c r="B256" i="5" s="1"/>
  <c r="F262" i="5"/>
  <c r="N262" i="5" s="1"/>
  <c r="B262" i="5" s="1"/>
  <c r="F264" i="5"/>
  <c r="N264" i="5" s="1"/>
  <c r="B264" i="5" s="1"/>
  <c r="F268" i="5"/>
  <c r="N268" i="5" s="1"/>
  <c r="B268" i="5" s="1"/>
  <c r="N13" i="5"/>
  <c r="B13" i="5" s="1"/>
  <c r="N21" i="5"/>
  <c r="B21" i="5" s="1"/>
  <c r="F171" i="5"/>
  <c r="N171" i="5" s="1"/>
  <c r="B171" i="5" s="1"/>
  <c r="F200" i="5"/>
  <c r="N200" i="5" s="1"/>
  <c r="B200" i="5" s="1"/>
  <c r="F202" i="5"/>
  <c r="N202" i="5" s="1"/>
  <c r="B202" i="5" s="1"/>
  <c r="F311" i="5"/>
  <c r="N311" i="5" s="1"/>
  <c r="B311" i="5" s="1"/>
  <c r="F324" i="5"/>
  <c r="N324" i="5" s="1"/>
  <c r="B324" i="5" s="1"/>
  <c r="F326" i="5"/>
  <c r="N326" i="5" s="1"/>
  <c r="B326" i="5" s="1"/>
  <c r="F328" i="5"/>
  <c r="N328" i="5" s="1"/>
  <c r="B328" i="5" s="1"/>
  <c r="F334" i="5"/>
  <c r="N334" i="5" s="1"/>
  <c r="B334" i="5" s="1"/>
  <c r="R194" i="2"/>
  <c r="J190" i="3" s="1"/>
  <c r="F186" i="5"/>
  <c r="N186" i="5" s="1"/>
  <c r="B186" i="5" s="1"/>
  <c r="L6" i="6"/>
  <c r="F271" i="5"/>
  <c r="N271" i="5" s="1"/>
  <c r="B271" i="5" s="1"/>
  <c r="F306" i="5"/>
  <c r="N306" i="5" s="1"/>
  <c r="B306" i="5" s="1"/>
  <c r="Q173" i="2"/>
  <c r="I169" i="3" s="1"/>
  <c r="Q196" i="2"/>
  <c r="I192" i="3" s="1"/>
  <c r="J8" i="6"/>
  <c r="O83" i="2"/>
  <c r="H79" i="3" s="1"/>
  <c r="B79" i="3" s="1"/>
  <c r="AO14" i="2"/>
  <c r="CA21" i="2"/>
  <c r="AN22" i="2"/>
  <c r="Q41" i="2"/>
  <c r="I36" i="3" s="1"/>
  <c r="R196" i="2"/>
  <c r="J192" i="3" s="1"/>
  <c r="F241" i="5"/>
  <c r="N241" i="5" s="1"/>
  <c r="B241" i="5" s="1"/>
  <c r="F248" i="5"/>
  <c r="N248" i="5" s="1"/>
  <c r="B248" i="5" s="1"/>
  <c r="F253" i="5"/>
  <c r="N253" i="5" s="1"/>
  <c r="B253" i="5" s="1"/>
  <c r="F265" i="5"/>
  <c r="N265" i="5" s="1"/>
  <c r="B265" i="5" s="1"/>
  <c r="K8" i="6"/>
  <c r="L13" i="6"/>
  <c r="F299" i="5"/>
  <c r="N299" i="5" s="1"/>
  <c r="B299" i="5" s="1"/>
  <c r="AO21" i="2"/>
  <c r="F162" i="5"/>
  <c r="N162" i="5" s="1"/>
  <c r="B162" i="5" s="1"/>
  <c r="F182" i="5"/>
  <c r="N182" i="5" s="1"/>
  <c r="B182" i="5" s="1"/>
  <c r="F327" i="5"/>
  <c r="N327" i="5" s="1"/>
  <c r="B327" i="5" s="1"/>
  <c r="F329" i="5"/>
  <c r="N329" i="5" s="1"/>
  <c r="B329" i="5" s="1"/>
  <c r="F333" i="5"/>
  <c r="N333" i="5" s="1"/>
  <c r="B333" i="5" s="1"/>
  <c r="M8" i="6"/>
  <c r="F293" i="5"/>
  <c r="N293" i="5" s="1"/>
  <c r="B293" i="5" s="1"/>
  <c r="F210" i="5"/>
  <c r="N210" i="5" s="1"/>
  <c r="B210" i="5" s="1"/>
  <c r="F272" i="5"/>
  <c r="N272" i="5" s="1"/>
  <c r="B272" i="5" s="1"/>
  <c r="F280" i="5"/>
  <c r="N280" i="5" s="1"/>
  <c r="B280" i="5" s="1"/>
  <c r="O8" i="6"/>
  <c r="O52" i="2"/>
  <c r="H47" i="3" s="1"/>
  <c r="B47" i="3" s="1"/>
  <c r="AV21" i="2"/>
  <c r="BN21" i="2"/>
  <c r="BX19" i="2"/>
  <c r="R25" i="2"/>
  <c r="J20" i="3" s="1"/>
  <c r="C32" i="3"/>
  <c r="R82" i="2"/>
  <c r="J78" i="3" s="1"/>
  <c r="R130" i="2"/>
  <c r="J126" i="3" s="1"/>
  <c r="Q140" i="2"/>
  <c r="I136" i="3" s="1"/>
  <c r="R178" i="2"/>
  <c r="J174" i="3" s="1"/>
  <c r="F168" i="5"/>
  <c r="N168" i="5" s="1"/>
  <c r="B168" i="5" s="1"/>
  <c r="F287" i="5"/>
  <c r="N287" i="5" s="1"/>
  <c r="B287" i="5" s="1"/>
  <c r="R23" i="2"/>
  <c r="J18" i="3" s="1"/>
  <c r="M133" i="2"/>
  <c r="F129" i="3" s="1"/>
  <c r="O138" i="2"/>
  <c r="H134" i="3" s="1"/>
  <c r="B134" i="3" s="1"/>
  <c r="R140" i="2"/>
  <c r="J136" i="3" s="1"/>
  <c r="O195" i="2"/>
  <c r="H191" i="3" s="1"/>
  <c r="R231" i="2"/>
  <c r="J227" i="3" s="1"/>
  <c r="F167" i="5"/>
  <c r="N167" i="5" s="1"/>
  <c r="B167" i="5" s="1"/>
  <c r="F230" i="5"/>
  <c r="N230" i="5" s="1"/>
  <c r="B230" i="5" s="1"/>
  <c r="F260" i="5"/>
  <c r="N260" i="5" s="1"/>
  <c r="B260" i="5" s="1"/>
  <c r="R41" i="2"/>
  <c r="J36" i="3" s="1"/>
  <c r="Q49" i="2"/>
  <c r="I44" i="3" s="1"/>
  <c r="M54" i="2"/>
  <c r="F49" i="3" s="1"/>
  <c r="Q59" i="2"/>
  <c r="I54" i="3" s="1"/>
  <c r="R75" i="2"/>
  <c r="J70" i="3" s="1"/>
  <c r="Q85" i="2"/>
  <c r="I81" i="3" s="1"/>
  <c r="F185" i="5"/>
  <c r="N185" i="5" s="1"/>
  <c r="B185" i="5" s="1"/>
  <c r="F204" i="5"/>
  <c r="N204" i="5" s="1"/>
  <c r="B204" i="5" s="1"/>
  <c r="F305" i="5"/>
  <c r="N305" i="5" s="1"/>
  <c r="B305" i="5" s="1"/>
  <c r="L16" i="6"/>
  <c r="Q20" i="2"/>
  <c r="I15" i="3" s="1"/>
  <c r="O26" i="2"/>
  <c r="H21" i="3" s="1"/>
  <c r="B21" i="3" s="1"/>
  <c r="R31" i="2"/>
  <c r="J26" i="3" s="1"/>
  <c r="R49" i="2"/>
  <c r="J44" i="3" s="1"/>
  <c r="R81" i="2"/>
  <c r="J77" i="3" s="1"/>
  <c r="R85" i="2"/>
  <c r="J81" i="3" s="1"/>
  <c r="R117" i="2"/>
  <c r="J113" i="3" s="1"/>
  <c r="R122" i="2"/>
  <c r="J118" i="3" s="1"/>
  <c r="M132" i="2"/>
  <c r="F128" i="3" s="1"/>
  <c r="O140" i="2"/>
  <c r="H136" i="3" s="1"/>
  <c r="B136" i="3" s="1"/>
  <c r="R232" i="2"/>
  <c r="J228" i="3" s="1"/>
  <c r="R237" i="2"/>
  <c r="J233" i="3" s="1"/>
  <c r="N22" i="5"/>
  <c r="B22" i="5" s="1"/>
  <c r="F238" i="5"/>
  <c r="N238" i="5" s="1"/>
  <c r="B238" i="5" s="1"/>
  <c r="F252" i="5"/>
  <c r="N252" i="5" s="1"/>
  <c r="B252" i="5" s="1"/>
  <c r="F266" i="5"/>
  <c r="N266" i="5" s="1"/>
  <c r="B266" i="5" s="1"/>
  <c r="F278" i="5"/>
  <c r="N278" i="5" s="1"/>
  <c r="B278" i="5" s="1"/>
  <c r="R28" i="2"/>
  <c r="J23" i="3" s="1"/>
  <c r="F177" i="5"/>
  <c r="N177" i="5" s="1"/>
  <c r="B177" i="5" s="1"/>
  <c r="F179" i="5"/>
  <c r="N179" i="5" s="1"/>
  <c r="B179" i="5" s="1"/>
  <c r="F190" i="5"/>
  <c r="N190" i="5" s="1"/>
  <c r="B190" i="5" s="1"/>
  <c r="F283" i="5"/>
  <c r="N283" i="5" s="1"/>
  <c r="B283" i="5" s="1"/>
  <c r="F320" i="5"/>
  <c r="N320" i="5" s="1"/>
  <c r="B320" i="5" s="1"/>
  <c r="F330" i="5"/>
  <c r="N330" i="5" s="1"/>
  <c r="B330" i="5" s="1"/>
  <c r="F336" i="5"/>
  <c r="N336" i="5" s="1"/>
  <c r="B336" i="5" s="1"/>
  <c r="L8" i="6"/>
  <c r="R20" i="2"/>
  <c r="J15" i="3" s="1"/>
  <c r="C5" i="1"/>
  <c r="R42" i="2"/>
  <c r="J37" i="3" s="1"/>
  <c r="M50" i="2"/>
  <c r="F45" i="3" s="1"/>
  <c r="R79" i="2"/>
  <c r="J75" i="3" s="1"/>
  <c r="Q127" i="2"/>
  <c r="I123" i="3" s="1"/>
  <c r="O134" i="2"/>
  <c r="H130" i="3" s="1"/>
  <c r="B130" i="3" s="1"/>
  <c r="O142" i="2"/>
  <c r="H138" i="3" s="1"/>
  <c r="B138" i="3" s="1"/>
  <c r="R190" i="2"/>
  <c r="J186" i="3" s="1"/>
  <c r="F205" i="5"/>
  <c r="N205" i="5" s="1"/>
  <c r="B205" i="5" s="1"/>
  <c r="F209" i="5"/>
  <c r="N209" i="5" s="1"/>
  <c r="B209" i="5" s="1"/>
  <c r="F213" i="5"/>
  <c r="N213" i="5" s="1"/>
  <c r="B213" i="5" s="1"/>
  <c r="F217" i="5"/>
  <c r="N217" i="5" s="1"/>
  <c r="B217" i="5" s="1"/>
  <c r="F250" i="5"/>
  <c r="N250" i="5" s="1"/>
  <c r="B250" i="5" s="1"/>
  <c r="F314" i="5"/>
  <c r="N314" i="5" s="1"/>
  <c r="B314" i="5" s="1"/>
  <c r="R119" i="2"/>
  <c r="J115" i="3" s="1"/>
  <c r="C86" i="1"/>
  <c r="BZ20" i="2"/>
  <c r="O25" i="2"/>
  <c r="H20" i="3" s="1"/>
  <c r="B20" i="3" s="1"/>
  <c r="Q45" i="2"/>
  <c r="I40" i="3" s="1"/>
  <c r="O82" i="2"/>
  <c r="H78" i="3" s="1"/>
  <c r="B78" i="3" s="1"/>
  <c r="Q92" i="2"/>
  <c r="I88" i="3" s="1"/>
  <c r="R127" i="2"/>
  <c r="J123" i="3" s="1"/>
  <c r="Q134" i="2"/>
  <c r="I130" i="3" s="1"/>
  <c r="F164" i="5"/>
  <c r="N164" i="5" s="1"/>
  <c r="B164" i="5" s="1"/>
  <c r="F309" i="5"/>
  <c r="N309" i="5" s="1"/>
  <c r="B309" i="5" s="1"/>
  <c r="Q82" i="2"/>
  <c r="I78" i="3" s="1"/>
  <c r="R92" i="2"/>
  <c r="J88" i="3" s="1"/>
  <c r="M128" i="2"/>
  <c r="F124" i="3" s="1"/>
  <c r="R134" i="2"/>
  <c r="J130" i="3" s="1"/>
  <c r="R204" i="2"/>
  <c r="J200" i="3" s="1"/>
  <c r="R213" i="2"/>
  <c r="J209" i="3" s="1"/>
  <c r="F184" i="5"/>
  <c r="N184" i="5" s="1"/>
  <c r="B184" i="5" s="1"/>
  <c r="F229" i="5"/>
  <c r="N229" i="5" s="1"/>
  <c r="B229" i="5" s="1"/>
  <c r="F237" i="5"/>
  <c r="N237" i="5" s="1"/>
  <c r="B237" i="5" s="1"/>
  <c r="F274" i="5"/>
  <c r="N274" i="5" s="1"/>
  <c r="B274" i="5" s="1"/>
  <c r="F312" i="5"/>
  <c r="N312" i="5" s="1"/>
  <c r="B312" i="5" s="1"/>
  <c r="F170" i="5"/>
  <c r="N170" i="5" s="1"/>
  <c r="B170" i="5" s="1"/>
  <c r="F191" i="5"/>
  <c r="N191" i="5" s="1"/>
  <c r="B191" i="5" s="1"/>
  <c r="F193" i="5"/>
  <c r="N193" i="5" s="1"/>
  <c r="B193" i="5" s="1"/>
  <c r="F197" i="5"/>
  <c r="N197" i="5" s="1"/>
  <c r="B197" i="5" s="1"/>
  <c r="F201" i="5"/>
  <c r="N201" i="5" s="1"/>
  <c r="B201" i="5" s="1"/>
  <c r="F225" i="5"/>
  <c r="N225" i="5" s="1"/>
  <c r="B225" i="5" s="1"/>
  <c r="F284" i="5"/>
  <c r="N284" i="5" s="1"/>
  <c r="B284" i="5" s="1"/>
  <c r="F288" i="5"/>
  <c r="N288" i="5" s="1"/>
  <c r="B288" i="5" s="1"/>
  <c r="F290" i="5"/>
  <c r="N290" i="5" s="1"/>
  <c r="B290" i="5" s="1"/>
  <c r="F321" i="5"/>
  <c r="N321" i="5" s="1"/>
  <c r="B321" i="5" s="1"/>
  <c r="F325" i="5"/>
  <c r="N325" i="5" s="1"/>
  <c r="B325" i="5" s="1"/>
  <c r="J62" i="3"/>
  <c r="AH16" i="2"/>
  <c r="CD16" i="2" s="1"/>
  <c r="O84" i="2"/>
  <c r="H80" i="3" s="1"/>
  <c r="B80" i="3" s="1"/>
  <c r="AK16" i="2"/>
  <c r="Q76" i="2"/>
  <c r="I71" i="3" s="1"/>
  <c r="Q84" i="2"/>
  <c r="I80" i="3" s="1"/>
  <c r="Q111" i="2"/>
  <c r="I107" i="3" s="1"/>
  <c r="Q116" i="2"/>
  <c r="I112" i="3" s="1"/>
  <c r="Q126" i="2"/>
  <c r="I122" i="3" s="1"/>
  <c r="Q193" i="2"/>
  <c r="I189" i="3" s="1"/>
  <c r="C11" i="3"/>
  <c r="C12" i="3" s="1"/>
  <c r="C13" i="3" s="1"/>
  <c r="C14" i="3" s="1"/>
  <c r="C15" i="3" s="1"/>
  <c r="C16" i="3" s="1"/>
  <c r="C17" i="3" s="1"/>
  <c r="AN16" i="2"/>
  <c r="R17" i="2"/>
  <c r="J12" i="3" s="1"/>
  <c r="AP17" i="2"/>
  <c r="AO20" i="2"/>
  <c r="AT21" i="2"/>
  <c r="AQ22" i="2"/>
  <c r="O24" i="2"/>
  <c r="H19" i="3" s="1"/>
  <c r="B19" i="3" s="1"/>
  <c r="R30" i="2"/>
  <c r="J25" i="3" s="1"/>
  <c r="M45" i="2"/>
  <c r="F40" i="3" s="1"/>
  <c r="Q48" i="2"/>
  <c r="I43" i="3" s="1"/>
  <c r="R76" i="2"/>
  <c r="J71" i="3" s="1"/>
  <c r="O80" i="2"/>
  <c r="H76" i="3" s="1"/>
  <c r="B76" i="3" s="1"/>
  <c r="R84" i="2"/>
  <c r="J80" i="3" s="1"/>
  <c r="O88" i="2"/>
  <c r="H84" i="3" s="1"/>
  <c r="B84" i="3" s="1"/>
  <c r="O89" i="2"/>
  <c r="H85" i="3" s="1"/>
  <c r="B85" i="3" s="1"/>
  <c r="R111" i="2"/>
  <c r="J107" i="3" s="1"/>
  <c r="R116" i="2"/>
  <c r="J112" i="3" s="1"/>
  <c r="R126" i="2"/>
  <c r="J122" i="3" s="1"/>
  <c r="M137" i="2"/>
  <c r="F133" i="3" s="1"/>
  <c r="Q153" i="2"/>
  <c r="I149" i="3" s="1"/>
  <c r="F245" i="5"/>
  <c r="N245" i="5" s="1"/>
  <c r="B245" i="5" s="1"/>
  <c r="F279" i="5"/>
  <c r="N279" i="5" s="1"/>
  <c r="B279" i="5" s="1"/>
  <c r="AQ18" i="2"/>
  <c r="AO17" i="2"/>
  <c r="O27" i="2"/>
  <c r="O48" i="2"/>
  <c r="H43" i="3" s="1"/>
  <c r="B43" i="3" s="1"/>
  <c r="R78" i="2"/>
  <c r="J73" i="3" s="1"/>
  <c r="Q141" i="2"/>
  <c r="I137" i="3" s="1"/>
  <c r="AN15" i="2"/>
  <c r="AO16" i="2"/>
  <c r="AQ17" i="2"/>
  <c r="AU21" i="2"/>
  <c r="R27" i="2"/>
  <c r="J22" i="3" s="1"/>
  <c r="R33" i="2"/>
  <c r="J28" i="3" s="1"/>
  <c r="R48" i="2"/>
  <c r="J43" i="3" s="1"/>
  <c r="Q88" i="2"/>
  <c r="I84" i="3" s="1"/>
  <c r="Q89" i="2"/>
  <c r="I85" i="3" s="1"/>
  <c r="R184" i="2"/>
  <c r="R211" i="2"/>
  <c r="J207" i="3" s="1"/>
  <c r="F163" i="5"/>
  <c r="N163" i="5" s="1"/>
  <c r="B163" i="5" s="1"/>
  <c r="F203" i="5"/>
  <c r="N203" i="5" s="1"/>
  <c r="B203" i="5" s="1"/>
  <c r="F227" i="5"/>
  <c r="N227" i="5" s="1"/>
  <c r="B227" i="5" s="1"/>
  <c r="F231" i="5"/>
  <c r="N231" i="5" s="1"/>
  <c r="B231" i="5" s="1"/>
  <c r="F233" i="5"/>
  <c r="N233" i="5" s="1"/>
  <c r="B233" i="5" s="1"/>
  <c r="F235" i="5"/>
  <c r="N235" i="5" s="1"/>
  <c r="B235" i="5" s="1"/>
  <c r="F239" i="5"/>
  <c r="N239" i="5" s="1"/>
  <c r="B239" i="5" s="1"/>
  <c r="F243" i="5"/>
  <c r="N243" i="5" s="1"/>
  <c r="B243" i="5" s="1"/>
  <c r="F255" i="5"/>
  <c r="N255" i="5" s="1"/>
  <c r="B255" i="5" s="1"/>
  <c r="F259" i="5"/>
  <c r="N259" i="5" s="1"/>
  <c r="B259" i="5" s="1"/>
  <c r="F261" i="5"/>
  <c r="N261" i="5" s="1"/>
  <c r="B261" i="5" s="1"/>
  <c r="F267" i="5"/>
  <c r="N267" i="5" s="1"/>
  <c r="B267" i="5" s="1"/>
  <c r="F269" i="5"/>
  <c r="N269" i="5" s="1"/>
  <c r="B269" i="5" s="1"/>
  <c r="F304" i="5"/>
  <c r="N304" i="5" s="1"/>
  <c r="B304" i="5" s="1"/>
  <c r="Q17" i="2"/>
  <c r="AP22" i="2"/>
  <c r="AO15" i="2"/>
  <c r="BX21" i="2"/>
  <c r="R24" i="2"/>
  <c r="J19" i="3" s="1"/>
  <c r="R217" i="2"/>
  <c r="J213" i="3" s="1"/>
  <c r="R223" i="2"/>
  <c r="J219" i="3" s="1"/>
  <c r="F172" i="5"/>
  <c r="N172" i="5" s="1"/>
  <c r="B172" i="5" s="1"/>
  <c r="F174" i="5"/>
  <c r="N174" i="5" s="1"/>
  <c r="B174" i="5" s="1"/>
  <c r="F176" i="5"/>
  <c r="N176" i="5" s="1"/>
  <c r="B176" i="5" s="1"/>
  <c r="F189" i="5"/>
  <c r="N189" i="5" s="1"/>
  <c r="B189" i="5" s="1"/>
  <c r="F195" i="5"/>
  <c r="N195" i="5" s="1"/>
  <c r="B195" i="5" s="1"/>
  <c r="F199" i="5"/>
  <c r="N199" i="5" s="1"/>
  <c r="B199" i="5" s="1"/>
  <c r="F251" i="5"/>
  <c r="N251" i="5" s="1"/>
  <c r="B251" i="5" s="1"/>
  <c r="F277" i="5"/>
  <c r="N277" i="5" s="1"/>
  <c r="B277" i="5" s="1"/>
  <c r="F282" i="5"/>
  <c r="N282" i="5" s="1"/>
  <c r="B282" i="5" s="1"/>
  <c r="F286" i="5"/>
  <c r="N286" i="5" s="1"/>
  <c r="B286" i="5" s="1"/>
  <c r="F294" i="5"/>
  <c r="N294" i="5" s="1"/>
  <c r="B294" i="5" s="1"/>
  <c r="F300" i="5"/>
  <c r="N300" i="5" s="1"/>
  <c r="B300" i="5" s="1"/>
  <c r="F307" i="5"/>
  <c r="N307" i="5" s="1"/>
  <c r="B307" i="5" s="1"/>
  <c r="F319" i="5"/>
  <c r="N319" i="5" s="1"/>
  <c r="B319" i="5" s="1"/>
  <c r="F323" i="5"/>
  <c r="N323" i="5" s="1"/>
  <c r="B323" i="5" s="1"/>
  <c r="F331" i="5"/>
  <c r="N331" i="5" s="1"/>
  <c r="B331" i="5" s="1"/>
  <c r="F335" i="5"/>
  <c r="N335" i="5" s="1"/>
  <c r="B335" i="5" s="1"/>
  <c r="AQ14" i="2"/>
  <c r="R107" i="2"/>
  <c r="J103" i="3" s="1"/>
  <c r="AQ21" i="2"/>
  <c r="AP16" i="2"/>
  <c r="BH21" i="2"/>
  <c r="R88" i="2"/>
  <c r="J84" i="3" s="1"/>
  <c r="R118" i="2"/>
  <c r="J114" i="3" s="1"/>
  <c r="AP15" i="2"/>
  <c r="AQ16" i="2"/>
  <c r="AN18" i="2"/>
  <c r="BL20" i="2"/>
  <c r="AW21" i="2"/>
  <c r="O23" i="2"/>
  <c r="H18" i="3" s="1"/>
  <c r="B18" i="3" s="1"/>
  <c r="O42" i="2"/>
  <c r="H37" i="3" s="1"/>
  <c r="B37" i="3" s="1"/>
  <c r="R45" i="2"/>
  <c r="J40" i="3" s="1"/>
  <c r="Q52" i="2"/>
  <c r="I47" i="3" s="1"/>
  <c r="O55" i="2"/>
  <c r="H50" i="3" s="1"/>
  <c r="B50" i="3" s="1"/>
  <c r="R59" i="2"/>
  <c r="J54" i="3" s="1"/>
  <c r="R61" i="2"/>
  <c r="J56" i="3" s="1"/>
  <c r="O77" i="2"/>
  <c r="H72" i="3" s="1"/>
  <c r="B72" i="3" s="1"/>
  <c r="O79" i="2"/>
  <c r="H75" i="3" s="1"/>
  <c r="B75" i="3" s="1"/>
  <c r="Q87" i="2"/>
  <c r="I83" i="3" s="1"/>
  <c r="Q137" i="2"/>
  <c r="I133" i="3" s="1"/>
  <c r="M142" i="2"/>
  <c r="F138" i="3" s="1"/>
  <c r="R173" i="2"/>
  <c r="J169" i="3" s="1"/>
  <c r="R181" i="2"/>
  <c r="J177" i="3" s="1"/>
  <c r="Q197" i="2"/>
  <c r="I193" i="3" s="1"/>
  <c r="F161" i="5"/>
  <c r="N161" i="5" s="1"/>
  <c r="B161" i="5" s="1"/>
  <c r="N16" i="5"/>
  <c r="B16" i="5" s="1"/>
  <c r="F206" i="5"/>
  <c r="N206" i="5" s="1"/>
  <c r="B206" i="5" s="1"/>
  <c r="F214" i="5"/>
  <c r="N214" i="5" s="1"/>
  <c r="B214" i="5" s="1"/>
  <c r="F216" i="5"/>
  <c r="N216" i="5" s="1"/>
  <c r="B216" i="5" s="1"/>
  <c r="F218" i="5"/>
  <c r="N218" i="5" s="1"/>
  <c r="B218" i="5" s="1"/>
  <c r="AP21" i="2"/>
  <c r="AQ15" i="2"/>
  <c r="AO18" i="2"/>
  <c r="AO19" i="2"/>
  <c r="AN21" i="2"/>
  <c r="BZ21" i="2"/>
  <c r="R26" i="2"/>
  <c r="J21" i="3" s="1"/>
  <c r="O41" i="2"/>
  <c r="H36" i="3" s="1"/>
  <c r="B36" i="3" s="1"/>
  <c r="Q42" i="2"/>
  <c r="I37" i="3" s="1"/>
  <c r="R52" i="2"/>
  <c r="J47" i="3" s="1"/>
  <c r="R71" i="2"/>
  <c r="J66" i="3" s="1"/>
  <c r="Q79" i="2"/>
  <c r="I75" i="3" s="1"/>
  <c r="O85" i="2"/>
  <c r="H81" i="3" s="1"/>
  <c r="B81" i="3" s="1"/>
  <c r="O92" i="2"/>
  <c r="H88" i="3" s="1"/>
  <c r="B88" i="3" s="1"/>
  <c r="Q104" i="2"/>
  <c r="I100" i="3" s="1"/>
  <c r="R113" i="2"/>
  <c r="J109" i="3" s="1"/>
  <c r="R123" i="2"/>
  <c r="J119" i="3" s="1"/>
  <c r="O127" i="2"/>
  <c r="H123" i="3" s="1"/>
  <c r="B123" i="3" s="1"/>
  <c r="M141" i="2"/>
  <c r="F137" i="3" s="1"/>
  <c r="C152" i="3"/>
  <c r="Q190" i="2"/>
  <c r="I186" i="3" s="1"/>
  <c r="Q194" i="2"/>
  <c r="I190" i="3" s="1"/>
  <c r="R222" i="2"/>
  <c r="J218" i="3" s="1"/>
  <c r="C237" i="3"/>
  <c r="F223" i="5"/>
  <c r="N223" i="5" s="1"/>
  <c r="B223" i="5" s="1"/>
  <c r="F249" i="5"/>
  <c r="N249" i="5" s="1"/>
  <c r="B249" i="5" s="1"/>
  <c r="F313" i="5"/>
  <c r="N313" i="5" s="1"/>
  <c r="B313" i="5" s="1"/>
  <c r="F240" i="5"/>
  <c r="N240" i="5" s="1"/>
  <c r="B240" i="5" s="1"/>
  <c r="F242" i="5"/>
  <c r="N242" i="5" s="1"/>
  <c r="B242" i="5" s="1"/>
  <c r="F258" i="5"/>
  <c r="N258" i="5" s="1"/>
  <c r="B258" i="5" s="1"/>
  <c r="F270" i="5"/>
  <c r="N270" i="5" s="1"/>
  <c r="B270" i="5" s="1"/>
  <c r="F308" i="5"/>
  <c r="N308" i="5" s="1"/>
  <c r="B308" i="5" s="1"/>
  <c r="AN17" i="2"/>
  <c r="AO22" i="2"/>
  <c r="O76" i="2"/>
  <c r="H71" i="3" s="1"/>
  <c r="B71" i="3" s="1"/>
  <c r="Q90" i="2"/>
  <c r="I86" i="3" s="1"/>
  <c r="O139" i="2"/>
  <c r="H135" i="3" s="1"/>
  <c r="B135" i="3" s="1"/>
  <c r="R177" i="2"/>
  <c r="J173" i="3" s="1"/>
  <c r="O193" i="2"/>
  <c r="F166" i="5"/>
  <c r="N166" i="5" s="1"/>
  <c r="B166" i="5" s="1"/>
  <c r="F175" i="5"/>
  <c r="N175" i="5" s="1"/>
  <c r="B175" i="5" s="1"/>
  <c r="F188" i="5"/>
  <c r="N188" i="5" s="1"/>
  <c r="B188" i="5" s="1"/>
  <c r="F192" i="5"/>
  <c r="N192" i="5" s="1"/>
  <c r="B192" i="5" s="1"/>
  <c r="F194" i="5"/>
  <c r="N194" i="5" s="1"/>
  <c r="B194" i="5" s="1"/>
  <c r="F221" i="5"/>
  <c r="N221" i="5" s="1"/>
  <c r="B221" i="5" s="1"/>
  <c r="F247" i="5"/>
  <c r="N247" i="5" s="1"/>
  <c r="B247" i="5" s="1"/>
  <c r="F273" i="5"/>
  <c r="N273" i="5" s="1"/>
  <c r="B273" i="5" s="1"/>
  <c r="F281" i="5"/>
  <c r="N281" i="5" s="1"/>
  <c r="B281" i="5" s="1"/>
  <c r="F285" i="5"/>
  <c r="N285" i="5" s="1"/>
  <c r="B285" i="5" s="1"/>
  <c r="F289" i="5"/>
  <c r="N289" i="5" s="1"/>
  <c r="B289" i="5" s="1"/>
  <c r="F291" i="5"/>
  <c r="N291" i="5" s="1"/>
  <c r="B291" i="5" s="1"/>
  <c r="F295" i="5"/>
  <c r="N295" i="5" s="1"/>
  <c r="B295" i="5" s="1"/>
  <c r="F297" i="5"/>
  <c r="N297" i="5" s="1"/>
  <c r="B297" i="5" s="1"/>
  <c r="F301" i="5"/>
  <c r="N301" i="5" s="1"/>
  <c r="B301" i="5" s="1"/>
  <c r="F303" i="5"/>
  <c r="N303" i="5" s="1"/>
  <c r="B303" i="5" s="1"/>
  <c r="F318" i="5"/>
  <c r="N318" i="5" s="1"/>
  <c r="B318" i="5" s="1"/>
  <c r="F322" i="5"/>
  <c r="N322" i="5" s="1"/>
  <c r="B322" i="5" s="1"/>
  <c r="F332" i="5"/>
  <c r="N332" i="5" s="1"/>
  <c r="B332" i="5" s="1"/>
  <c r="N12" i="5"/>
  <c r="B12" i="5" s="1"/>
  <c r="R230" i="2"/>
  <c r="J226" i="3" s="1"/>
  <c r="F165" i="5"/>
  <c r="N165" i="5" s="1"/>
  <c r="B165" i="5" s="1"/>
  <c r="N20" i="5"/>
  <c r="B20" i="5" s="1"/>
  <c r="F207" i="5"/>
  <c r="N207" i="5" s="1"/>
  <c r="B207" i="5" s="1"/>
  <c r="F211" i="5"/>
  <c r="N211" i="5" s="1"/>
  <c r="B211" i="5" s="1"/>
  <c r="F215" i="5"/>
  <c r="N215" i="5" s="1"/>
  <c r="B215" i="5" s="1"/>
  <c r="F219" i="5"/>
  <c r="N219" i="5" s="1"/>
  <c r="B219" i="5" s="1"/>
  <c r="F276" i="5"/>
  <c r="N276" i="5" s="1"/>
  <c r="B276" i="5" s="1"/>
  <c r="C44" i="1"/>
  <c r="C51" i="1"/>
  <c r="C60" i="1"/>
  <c r="C24" i="1"/>
  <c r="C76" i="1"/>
  <c r="C28" i="1"/>
  <c r="C82" i="1"/>
  <c r="C61" i="1"/>
  <c r="C29" i="1"/>
  <c r="C64" i="1"/>
  <c r="C84" i="1"/>
  <c r="C74" i="1"/>
  <c r="C30" i="1"/>
  <c r="C65" i="1"/>
  <c r="C85" i="1"/>
  <c r="C31" i="1"/>
  <c r="C73" i="1"/>
  <c r="C66" i="1"/>
  <c r="C33" i="1"/>
  <c r="C67" i="1"/>
  <c r="C89" i="1"/>
  <c r="C35" i="1"/>
  <c r="C68" i="1"/>
  <c r="C95" i="1"/>
  <c r="C36" i="1"/>
  <c r="C69" i="1"/>
  <c r="C98" i="1"/>
  <c r="C4" i="1"/>
  <c r="C70" i="1"/>
  <c r="C99" i="1"/>
  <c r="C72" i="1"/>
  <c r="F10" i="3"/>
  <c r="AC98" i="2"/>
  <c r="G11" i="3"/>
  <c r="Q16" i="2"/>
  <c r="I11" i="3" s="1"/>
  <c r="CG16" i="2"/>
  <c r="J16" i="3"/>
  <c r="G34" i="3"/>
  <c r="Q39" i="2"/>
  <c r="I34" i="3" s="1"/>
  <c r="O39" i="2"/>
  <c r="G10" i="3"/>
  <c r="N246" i="2"/>
  <c r="C254" i="2" s="1"/>
  <c r="CZ48" i="2"/>
  <c r="Q15" i="2"/>
  <c r="R39" i="2"/>
  <c r="G65" i="3"/>
  <c r="Q70" i="2"/>
  <c r="I65" i="3" s="1"/>
  <c r="O70" i="2"/>
  <c r="H65" i="3" s="1"/>
  <c r="B65" i="3" s="1"/>
  <c r="I32" i="3"/>
  <c r="G42" i="3"/>
  <c r="R47" i="2"/>
  <c r="J42" i="3" s="1"/>
  <c r="O47" i="2"/>
  <c r="H42" i="3" s="1"/>
  <c r="B42" i="3" s="1"/>
  <c r="G46" i="3"/>
  <c r="Q51" i="2"/>
  <c r="I46" i="3" s="1"/>
  <c r="O51" i="2"/>
  <c r="H46" i="3" s="1"/>
  <c r="B46" i="3" s="1"/>
  <c r="G51" i="3"/>
  <c r="R56" i="2"/>
  <c r="J51" i="3" s="1"/>
  <c r="Q56" i="2"/>
  <c r="I51" i="3" s="1"/>
  <c r="C50" i="1"/>
  <c r="C49" i="1"/>
  <c r="C116" i="1"/>
  <c r="C90" i="1"/>
  <c r="C100" i="1"/>
  <c r="G13" i="3"/>
  <c r="Q18" i="2"/>
  <c r="I13" i="3" s="1"/>
  <c r="C46" i="1"/>
  <c r="R15" i="2"/>
  <c r="Q47" i="2"/>
  <c r="I42" i="3" s="1"/>
  <c r="R51" i="2"/>
  <c r="J46" i="3" s="1"/>
  <c r="O56" i="2"/>
  <c r="H51" i="3" s="1"/>
  <c r="B51" i="3" s="1"/>
  <c r="C45" i="1"/>
  <c r="C47" i="1"/>
  <c r="R18" i="2"/>
  <c r="J52" i="2"/>
  <c r="K52" i="2" s="1"/>
  <c r="L52" i="2" s="1"/>
  <c r="M52" i="2" s="1"/>
  <c r="F47" i="3" s="1"/>
  <c r="H59" i="3"/>
  <c r="B59" i="3" s="1"/>
  <c r="R64" i="2"/>
  <c r="J59" i="3" s="1"/>
  <c r="C48" i="1"/>
  <c r="G27" i="3"/>
  <c r="R32" i="2"/>
  <c r="J27" i="3" s="1"/>
  <c r="G35" i="3"/>
  <c r="R40" i="2"/>
  <c r="J35" i="3" s="1"/>
  <c r="O40" i="2"/>
  <c r="H35" i="3" s="1"/>
  <c r="B35" i="3" s="1"/>
  <c r="J48" i="2"/>
  <c r="K48" i="2" s="1"/>
  <c r="L48" i="2" s="1"/>
  <c r="M48" i="2" s="1"/>
  <c r="F43" i="3" s="1"/>
  <c r="G69" i="3"/>
  <c r="R74" i="2"/>
  <c r="J69" i="3" s="1"/>
  <c r="Q74" i="2"/>
  <c r="I69" i="3" s="1"/>
  <c r="O74" i="2"/>
  <c r="G14" i="3"/>
  <c r="R19" i="2"/>
  <c r="J14" i="3" s="1"/>
  <c r="Q19" i="2"/>
  <c r="I14" i="3" s="1"/>
  <c r="I12" i="3"/>
  <c r="G33" i="3"/>
  <c r="O38" i="2"/>
  <c r="G39" i="3"/>
  <c r="R44" i="2"/>
  <c r="J39" i="3" s="1"/>
  <c r="Q44" i="2"/>
  <c r="I39" i="3" s="1"/>
  <c r="H52" i="3"/>
  <c r="B52" i="3" s="1"/>
  <c r="R57" i="2"/>
  <c r="J52" i="3" s="1"/>
  <c r="Q57" i="2"/>
  <c r="I52" i="3" s="1"/>
  <c r="H57" i="3"/>
  <c r="B57" i="3" s="1"/>
  <c r="R62" i="2"/>
  <c r="J57" i="3" s="1"/>
  <c r="Q62" i="2"/>
  <c r="I57" i="3" s="1"/>
  <c r="C114" i="1"/>
  <c r="AI15" i="2"/>
  <c r="CE15" i="2" s="1"/>
  <c r="G16" i="3"/>
  <c r="Q21" i="2"/>
  <c r="R34" i="2"/>
  <c r="J29" i="3" s="1"/>
  <c r="AI18" i="2"/>
  <c r="M41" i="2"/>
  <c r="F36" i="3" s="1"/>
  <c r="AI20" i="2"/>
  <c r="J41" i="2"/>
  <c r="AI17" i="2"/>
  <c r="AI14" i="2"/>
  <c r="CE14" i="2" s="1"/>
  <c r="O44" i="2"/>
  <c r="H39" i="3" s="1"/>
  <c r="B39" i="3" s="1"/>
  <c r="G62" i="3"/>
  <c r="Q67" i="2"/>
  <c r="I62" i="3" s="1"/>
  <c r="O67" i="2"/>
  <c r="C115" i="1"/>
  <c r="G17" i="3"/>
  <c r="R22" i="2"/>
  <c r="J17" i="3" s="1"/>
  <c r="Q22" i="2"/>
  <c r="I17" i="3" s="1"/>
  <c r="J33" i="3"/>
  <c r="AK21" i="2"/>
  <c r="M55" i="2"/>
  <c r="F50" i="3" s="1"/>
  <c r="J55" i="2"/>
  <c r="K55" i="2" s="1"/>
  <c r="H55" i="3"/>
  <c r="B55" i="3" s="1"/>
  <c r="R60" i="2"/>
  <c r="J55" i="3" s="1"/>
  <c r="Q60" i="2"/>
  <c r="I55" i="3" s="1"/>
  <c r="G67" i="3"/>
  <c r="O72" i="2"/>
  <c r="R72" i="2"/>
  <c r="J67" i="3" s="1"/>
  <c r="Q72" i="2"/>
  <c r="I67" i="3" s="1"/>
  <c r="G110" i="3"/>
  <c r="O114" i="2"/>
  <c r="H110" i="3" s="1"/>
  <c r="B110" i="3" s="1"/>
  <c r="R121" i="2"/>
  <c r="J117" i="3" s="1"/>
  <c r="G129" i="3"/>
  <c r="O133" i="2"/>
  <c r="G172" i="3"/>
  <c r="Q176" i="2"/>
  <c r="I172" i="3" s="1"/>
  <c r="O176" i="2"/>
  <c r="H189" i="3"/>
  <c r="R193" i="2"/>
  <c r="J189" i="3" s="1"/>
  <c r="O95" i="2"/>
  <c r="H91" i="3" s="1"/>
  <c r="B91" i="3" s="1"/>
  <c r="Q114" i="2"/>
  <c r="I110" i="3" s="1"/>
  <c r="G145" i="3"/>
  <c r="Q149" i="2"/>
  <c r="O149" i="2"/>
  <c r="H148" i="3"/>
  <c r="B148" i="3" s="1"/>
  <c r="R152" i="2"/>
  <c r="J148" i="3" s="1"/>
  <c r="H152" i="3"/>
  <c r="R156" i="2"/>
  <c r="J152" i="3" s="1"/>
  <c r="Q156" i="2"/>
  <c r="I152" i="3" s="1"/>
  <c r="G175" i="3"/>
  <c r="Q179" i="2"/>
  <c r="I175" i="3" s="1"/>
  <c r="O179" i="2"/>
  <c r="H175" i="3" s="1"/>
  <c r="G178" i="3"/>
  <c r="Q182" i="2"/>
  <c r="I178" i="3" s="1"/>
  <c r="O182" i="2"/>
  <c r="H178" i="3" s="1"/>
  <c r="G222" i="3"/>
  <c r="B222" i="3" s="1"/>
  <c r="C222" i="3" s="1"/>
  <c r="C223" i="3" s="1"/>
  <c r="C224" i="3" s="1"/>
  <c r="C225" i="3" s="1"/>
  <c r="C226" i="3" s="1"/>
  <c r="C227" i="3" s="1"/>
  <c r="C228" i="3" s="1"/>
  <c r="R226" i="2"/>
  <c r="G45" i="3"/>
  <c r="Q50" i="2"/>
  <c r="G61" i="3"/>
  <c r="R66" i="2"/>
  <c r="J61" i="3" s="1"/>
  <c r="Q95" i="2"/>
  <c r="I91" i="3" s="1"/>
  <c r="R114" i="2"/>
  <c r="J110" i="3" s="1"/>
  <c r="H156" i="3"/>
  <c r="R160" i="2"/>
  <c r="J156" i="3" s="1"/>
  <c r="Q160" i="2"/>
  <c r="I156" i="3" s="1"/>
  <c r="G163" i="3"/>
  <c r="B163" i="3" s="1"/>
  <c r="R167" i="2"/>
  <c r="J163" i="3" s="1"/>
  <c r="G203" i="3"/>
  <c r="B203" i="3" s="1"/>
  <c r="C203" i="3" s="1"/>
  <c r="R207" i="2"/>
  <c r="C63" i="1"/>
  <c r="C75" i="1"/>
  <c r="O43" i="2"/>
  <c r="O50" i="2"/>
  <c r="H45" i="3" s="1"/>
  <c r="B45" i="3" s="1"/>
  <c r="O53" i="2"/>
  <c r="H48" i="3" s="1"/>
  <c r="B48" i="3" s="1"/>
  <c r="Q61" i="2"/>
  <c r="I56" i="3" s="1"/>
  <c r="O66" i="2"/>
  <c r="H61" i="3" s="1"/>
  <c r="B61" i="3" s="1"/>
  <c r="J74" i="2"/>
  <c r="K74" i="2" s="1"/>
  <c r="L74" i="2" s="1"/>
  <c r="M74" i="2" s="1"/>
  <c r="F69" i="3" s="1"/>
  <c r="R95" i="2"/>
  <c r="J91" i="3" s="1"/>
  <c r="G132" i="3"/>
  <c r="Q136" i="2"/>
  <c r="I132" i="3" s="1"/>
  <c r="O136" i="2"/>
  <c r="H132" i="3" s="1"/>
  <c r="B132" i="3" s="1"/>
  <c r="G153" i="3"/>
  <c r="B153" i="3" s="1"/>
  <c r="Q157" i="2"/>
  <c r="I153" i="3" s="1"/>
  <c r="G160" i="3"/>
  <c r="B160" i="3" s="1"/>
  <c r="Q164" i="2"/>
  <c r="I160" i="3" s="1"/>
  <c r="O164" i="2"/>
  <c r="H160" i="3" s="1"/>
  <c r="R164" i="2"/>
  <c r="J160" i="3" s="1"/>
  <c r="G194" i="3"/>
  <c r="Q198" i="2"/>
  <c r="I194" i="3" s="1"/>
  <c r="O198" i="2"/>
  <c r="H194" i="3" s="1"/>
  <c r="G197" i="3"/>
  <c r="R201" i="2"/>
  <c r="G101" i="3"/>
  <c r="O105" i="2"/>
  <c r="H101" i="3" s="1"/>
  <c r="B101" i="3" s="1"/>
  <c r="H153" i="3"/>
  <c r="R157" i="2"/>
  <c r="J153" i="3" s="1"/>
  <c r="G166" i="3"/>
  <c r="B166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R170" i="2"/>
  <c r="J166" i="3" s="1"/>
  <c r="G170" i="3"/>
  <c r="Q174" i="2"/>
  <c r="O174" i="2"/>
  <c r="G183" i="3"/>
  <c r="R187" i="2"/>
  <c r="J183" i="3" s="1"/>
  <c r="AB19" i="2"/>
  <c r="J39" i="2"/>
  <c r="K39" i="2" s="1"/>
  <c r="L39" i="2" s="1"/>
  <c r="M39" i="2" s="1"/>
  <c r="F34" i="3" s="1"/>
  <c r="R43" i="2"/>
  <c r="J38" i="3" s="1"/>
  <c r="R53" i="2"/>
  <c r="J48" i="3" s="1"/>
  <c r="Q58" i="2"/>
  <c r="I53" i="3" s="1"/>
  <c r="H58" i="3"/>
  <c r="B58" i="3" s="1"/>
  <c r="R63" i="2"/>
  <c r="J58" i="3" s="1"/>
  <c r="O71" i="2"/>
  <c r="AH15" i="2" s="1"/>
  <c r="O75" i="2"/>
  <c r="H70" i="3" s="1"/>
  <c r="B70" i="3" s="1"/>
  <c r="O78" i="2"/>
  <c r="O81" i="2"/>
  <c r="H77" i="3" s="1"/>
  <c r="B77" i="3" s="1"/>
  <c r="G99" i="3"/>
  <c r="Q103" i="2"/>
  <c r="I99" i="3" s="1"/>
  <c r="O103" i="2"/>
  <c r="H99" i="3" s="1"/>
  <c r="B99" i="3" s="1"/>
  <c r="Q105" i="2"/>
  <c r="I101" i="3" s="1"/>
  <c r="O107" i="2"/>
  <c r="H103" i="3" s="1"/>
  <c r="B103" i="3" s="1"/>
  <c r="G105" i="3"/>
  <c r="Q109" i="2"/>
  <c r="I105" i="3" s="1"/>
  <c r="O109" i="2"/>
  <c r="H105" i="3" s="1"/>
  <c r="B105" i="3" s="1"/>
  <c r="R120" i="2"/>
  <c r="J116" i="3" s="1"/>
  <c r="Q132" i="2"/>
  <c r="I128" i="3" s="1"/>
  <c r="G141" i="3"/>
  <c r="Q145" i="2"/>
  <c r="I141" i="3" s="1"/>
  <c r="O145" i="2"/>
  <c r="H141" i="3" s="1"/>
  <c r="B141" i="3" s="1"/>
  <c r="G157" i="3"/>
  <c r="B157" i="3" s="1"/>
  <c r="Q161" i="2"/>
  <c r="I157" i="3" s="1"/>
  <c r="O161" i="2"/>
  <c r="R161" i="2"/>
  <c r="J157" i="3" s="1"/>
  <c r="G176" i="3"/>
  <c r="Q180" i="2"/>
  <c r="I176" i="3" s="1"/>
  <c r="O180" i="2"/>
  <c r="H176" i="3" s="1"/>
  <c r="G187" i="3"/>
  <c r="O191" i="2"/>
  <c r="Q191" i="2"/>
  <c r="G217" i="3"/>
  <c r="B217" i="3" s="1"/>
  <c r="R221" i="2"/>
  <c r="J217" i="3" s="1"/>
  <c r="G229" i="3"/>
  <c r="B229" i="3" s="1"/>
  <c r="R233" i="2"/>
  <c r="R58" i="2"/>
  <c r="J53" i="3" s="1"/>
  <c r="Q75" i="2"/>
  <c r="I70" i="3" s="1"/>
  <c r="Q78" i="2"/>
  <c r="I73" i="3" s="1"/>
  <c r="Q81" i="2"/>
  <c r="I77" i="3" s="1"/>
  <c r="G92" i="3"/>
  <c r="Q96" i="2"/>
  <c r="I92" i="3" s="1"/>
  <c r="R105" i="2"/>
  <c r="J101" i="3" s="1"/>
  <c r="Q107" i="2"/>
  <c r="I103" i="3" s="1"/>
  <c r="R145" i="2"/>
  <c r="J141" i="3" s="1"/>
  <c r="G161" i="3"/>
  <c r="B161" i="3" s="1"/>
  <c r="R165" i="2"/>
  <c r="J161" i="3" s="1"/>
  <c r="Q165" i="2"/>
  <c r="I161" i="3" s="1"/>
  <c r="R180" i="2"/>
  <c r="G195" i="3"/>
  <c r="R199" i="2"/>
  <c r="J195" i="3" s="1"/>
  <c r="Q199" i="2"/>
  <c r="I195" i="3" s="1"/>
  <c r="G204" i="3"/>
  <c r="B204" i="3" s="1"/>
  <c r="R208" i="2"/>
  <c r="J204" i="3" s="1"/>
  <c r="H124" i="3"/>
  <c r="B124" i="3" s="1"/>
  <c r="Q128" i="2"/>
  <c r="I124" i="3" s="1"/>
  <c r="G139" i="3"/>
  <c r="Q143" i="2"/>
  <c r="I139" i="3" s="1"/>
  <c r="O143" i="2"/>
  <c r="H139" i="3" s="1"/>
  <c r="B139" i="3" s="1"/>
  <c r="G154" i="3"/>
  <c r="B154" i="3" s="1"/>
  <c r="Q158" i="2"/>
  <c r="I154" i="3" s="1"/>
  <c r="O158" i="2"/>
  <c r="G164" i="3"/>
  <c r="B164" i="3" s="1"/>
  <c r="R168" i="2"/>
  <c r="J164" i="3" s="1"/>
  <c r="R96" i="2"/>
  <c r="J92" i="3" s="1"/>
  <c r="R128" i="2"/>
  <c r="R143" i="2"/>
  <c r="J139" i="3" s="1"/>
  <c r="G158" i="3"/>
  <c r="B158" i="3" s="1"/>
  <c r="R162" i="2"/>
  <c r="J158" i="3" s="1"/>
  <c r="Q162" i="2"/>
  <c r="I158" i="3" s="1"/>
  <c r="R183" i="2"/>
  <c r="J179" i="3" s="1"/>
  <c r="R185" i="2"/>
  <c r="J181" i="3" s="1"/>
  <c r="G188" i="3"/>
  <c r="Q192" i="2"/>
  <c r="I188" i="3" s="1"/>
  <c r="O192" i="2"/>
  <c r="G144" i="3"/>
  <c r="Q148" i="2"/>
  <c r="I144" i="3" s="1"/>
  <c r="O148" i="2"/>
  <c r="H144" i="3" s="1"/>
  <c r="B144" i="3" s="1"/>
  <c r="G162" i="3"/>
  <c r="B162" i="3" s="1"/>
  <c r="R166" i="2"/>
  <c r="J162" i="3" s="1"/>
  <c r="G230" i="3"/>
  <c r="B230" i="3" s="1"/>
  <c r="R234" i="2"/>
  <c r="J230" i="3" s="1"/>
  <c r="AI22" i="2"/>
  <c r="G49" i="3"/>
  <c r="R54" i="2"/>
  <c r="J49" i="3" s="1"/>
  <c r="G68" i="3"/>
  <c r="Q73" i="2"/>
  <c r="I68" i="3" s="1"/>
  <c r="Q77" i="2"/>
  <c r="I72" i="3" s="1"/>
  <c r="Q80" i="2"/>
  <c r="I76" i="3" s="1"/>
  <c r="Q83" i="2"/>
  <c r="I79" i="3" s="1"/>
  <c r="Q86" i="2"/>
  <c r="I82" i="3" s="1"/>
  <c r="G87" i="3"/>
  <c r="R91" i="2"/>
  <c r="J87" i="3" s="1"/>
  <c r="Q91" i="2"/>
  <c r="I87" i="3" s="1"/>
  <c r="G98" i="3"/>
  <c r="O102" i="2"/>
  <c r="H98" i="3" s="1"/>
  <c r="B98" i="3" s="1"/>
  <c r="G104" i="3"/>
  <c r="O108" i="2"/>
  <c r="H104" i="3" s="1"/>
  <c r="B104" i="3" s="1"/>
  <c r="G127" i="3"/>
  <c r="O131" i="2"/>
  <c r="H127" i="3" s="1"/>
  <c r="B127" i="3" s="1"/>
  <c r="R148" i="2"/>
  <c r="J144" i="3" s="1"/>
  <c r="G155" i="3"/>
  <c r="B155" i="3" s="1"/>
  <c r="Q159" i="2"/>
  <c r="I155" i="3" s="1"/>
  <c r="G196" i="3"/>
  <c r="R200" i="2"/>
  <c r="J196" i="3" s="1"/>
  <c r="R219" i="2"/>
  <c r="J215" i="3" s="1"/>
  <c r="AI16" i="2"/>
  <c r="C32" i="1"/>
  <c r="C71" i="1"/>
  <c r="AJ16" i="2"/>
  <c r="BN20" i="2"/>
  <c r="O45" i="2"/>
  <c r="H40" i="3" s="1"/>
  <c r="B40" i="3" s="1"/>
  <c r="O46" i="2"/>
  <c r="O54" i="2"/>
  <c r="H49" i="3" s="1"/>
  <c r="B49" i="3" s="1"/>
  <c r="O73" i="2"/>
  <c r="R77" i="2"/>
  <c r="J72" i="3" s="1"/>
  <c r="R80" i="2"/>
  <c r="R83" i="2"/>
  <c r="J79" i="3" s="1"/>
  <c r="R89" i="2"/>
  <c r="J85" i="3" s="1"/>
  <c r="O91" i="2"/>
  <c r="H87" i="3" s="1"/>
  <c r="B87" i="3" s="1"/>
  <c r="G96" i="3"/>
  <c r="Q100" i="2"/>
  <c r="I96" i="3" s="1"/>
  <c r="O100" i="2"/>
  <c r="H96" i="3" s="1"/>
  <c r="B96" i="3" s="1"/>
  <c r="Q102" i="2"/>
  <c r="I98" i="3" s="1"/>
  <c r="O104" i="2"/>
  <c r="H100" i="3" s="1"/>
  <c r="B100" i="3" s="1"/>
  <c r="G102" i="3"/>
  <c r="Q106" i="2"/>
  <c r="I102" i="3" s="1"/>
  <c r="O106" i="2"/>
  <c r="H102" i="3" s="1"/>
  <c r="B102" i="3" s="1"/>
  <c r="Q108" i="2"/>
  <c r="I104" i="3" s="1"/>
  <c r="G125" i="3"/>
  <c r="R129" i="2"/>
  <c r="Q129" i="2"/>
  <c r="Q131" i="2"/>
  <c r="I127" i="3" s="1"/>
  <c r="G131" i="3"/>
  <c r="R135" i="2"/>
  <c r="J131" i="3" s="1"/>
  <c r="Q135" i="2"/>
  <c r="I131" i="3" s="1"/>
  <c r="O159" i="2"/>
  <c r="G159" i="3"/>
  <c r="B159" i="3" s="1"/>
  <c r="R163" i="2"/>
  <c r="J159" i="3" s="1"/>
  <c r="Q163" i="2"/>
  <c r="I159" i="3" s="1"/>
  <c r="G165" i="3"/>
  <c r="B165" i="3" s="1"/>
  <c r="R169" i="2"/>
  <c r="J165" i="3" s="1"/>
  <c r="G182" i="3"/>
  <c r="R186" i="2"/>
  <c r="J182" i="3" s="1"/>
  <c r="C186" i="3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Q150" i="2"/>
  <c r="I146" i="3" s="1"/>
  <c r="Q175" i="2"/>
  <c r="I171" i="3" s="1"/>
  <c r="Q178" i="2"/>
  <c r="Q181" i="2"/>
  <c r="I177" i="3" s="1"/>
  <c r="N14" i="5"/>
  <c r="B14" i="5" s="1"/>
  <c r="G211" i="3"/>
  <c r="B211" i="3" s="1"/>
  <c r="R215" i="2"/>
  <c r="J211" i="3" s="1"/>
  <c r="R202" i="2"/>
  <c r="J198" i="3" s="1"/>
  <c r="R210" i="2"/>
  <c r="J206" i="3" s="1"/>
  <c r="G208" i="3"/>
  <c r="B208" i="3" s="1"/>
  <c r="R212" i="2"/>
  <c r="J208" i="3" s="1"/>
  <c r="R228" i="2"/>
  <c r="J224" i="3" s="1"/>
  <c r="R236" i="2"/>
  <c r="J232" i="3" s="1"/>
  <c r="O126" i="2"/>
  <c r="J139" i="2"/>
  <c r="K139" i="2" s="1"/>
  <c r="L139" i="2" s="1"/>
  <c r="M139" i="2" s="1"/>
  <c r="F135" i="3" s="1"/>
  <c r="Q177" i="2"/>
  <c r="I173" i="3" s="1"/>
  <c r="O196" i="2"/>
  <c r="H192" i="3" s="1"/>
  <c r="R220" i="2"/>
  <c r="J216" i="3" s="1"/>
  <c r="G205" i="3"/>
  <c r="B205" i="3" s="1"/>
  <c r="R209" i="2"/>
  <c r="R214" i="2"/>
  <c r="J210" i="3" s="1"/>
  <c r="R227" i="2"/>
  <c r="J223" i="3" s="1"/>
  <c r="R235" i="2"/>
  <c r="J231" i="3" s="1"/>
  <c r="Q139" i="2"/>
  <c r="I135" i="3" s="1"/>
  <c r="R153" i="2"/>
  <c r="J149" i="3" s="1"/>
  <c r="Q195" i="2"/>
  <c r="C238" i="3"/>
  <c r="C239" i="3" s="1"/>
  <c r="O116" i="2"/>
  <c r="H112" i="3" s="1"/>
  <c r="B112" i="3" s="1"/>
  <c r="O130" i="2"/>
  <c r="H126" i="3" s="1"/>
  <c r="B126" i="3" s="1"/>
  <c r="R139" i="2"/>
  <c r="J135" i="3" s="1"/>
  <c r="O150" i="2"/>
  <c r="H146" i="3" s="1"/>
  <c r="B146" i="3" s="1"/>
  <c r="O175" i="2"/>
  <c r="O178" i="2"/>
  <c r="O181" i="2"/>
  <c r="H177" i="3" s="1"/>
  <c r="R195" i="2"/>
  <c r="G193" i="3"/>
  <c r="O197" i="2"/>
  <c r="R203" i="2"/>
  <c r="J199" i="3" s="1"/>
  <c r="R216" i="2"/>
  <c r="J212" i="3" s="1"/>
  <c r="G214" i="3"/>
  <c r="B214" i="3" s="1"/>
  <c r="R218" i="2"/>
  <c r="J214" i="3" s="1"/>
  <c r="R229" i="2"/>
  <c r="J225" i="3" s="1"/>
  <c r="N19" i="5"/>
  <c r="B19" i="5" s="1"/>
  <c r="N18" i="5"/>
  <c r="B18" i="5" s="1"/>
  <c r="N15" i="5"/>
  <c r="B15" i="5" s="1"/>
  <c r="L11" i="6"/>
  <c r="K11" i="6"/>
  <c r="P11" i="6"/>
  <c r="O11" i="6"/>
  <c r="M11" i="6"/>
  <c r="J11" i="6"/>
  <c r="L14" i="6"/>
  <c r="K14" i="6"/>
  <c r="P14" i="6"/>
  <c r="O14" i="6"/>
  <c r="M14" i="6"/>
  <c r="J14" i="6"/>
  <c r="P15" i="6"/>
  <c r="L15" i="6"/>
  <c r="K15" i="6"/>
  <c r="J15" i="6"/>
  <c r="M15" i="6"/>
  <c r="P12" i="6"/>
  <c r="L12" i="6"/>
  <c r="K12" i="6"/>
  <c r="J12" i="6"/>
  <c r="M12" i="6"/>
  <c r="O12" i="6"/>
  <c r="K7" i="6"/>
  <c r="J7" i="6"/>
  <c r="O7" i="6"/>
  <c r="M7" i="6"/>
  <c r="P7" i="6"/>
  <c r="L17" i="6"/>
  <c r="K17" i="6"/>
  <c r="P17" i="6"/>
  <c r="O17" i="6"/>
  <c r="M17" i="6"/>
  <c r="J17" i="6"/>
  <c r="P18" i="6"/>
  <c r="L18" i="6"/>
  <c r="K18" i="6"/>
  <c r="J18" i="6"/>
  <c r="M18" i="6"/>
  <c r="P10" i="6"/>
  <c r="O10" i="6"/>
  <c r="K10" i="6"/>
  <c r="J10" i="6"/>
  <c r="P13" i="6"/>
  <c r="O13" i="6"/>
  <c r="K13" i="6"/>
  <c r="J13" i="6"/>
  <c r="P16" i="6"/>
  <c r="O16" i="6"/>
  <c r="K16" i="6"/>
  <c r="J16" i="6"/>
  <c r="L9" i="6"/>
  <c r="M9" i="6"/>
  <c r="K9" i="6"/>
  <c r="J9" i="6"/>
  <c r="P9" i="6"/>
  <c r="P6" i="6"/>
  <c r="O6" i="6"/>
  <c r="K6" i="6"/>
  <c r="J6" i="6"/>
  <c r="Q142" i="2" l="1"/>
  <c r="I138" i="3" s="1"/>
  <c r="CF16" i="2"/>
  <c r="C18" i="3"/>
  <c r="C19" i="3" s="1"/>
  <c r="C20" i="3" s="1"/>
  <c r="C21" i="3" s="1"/>
  <c r="CE18" i="2"/>
  <c r="AB20" i="2"/>
  <c r="CE22" i="2"/>
  <c r="AK17" i="2"/>
  <c r="CG17" i="2" s="1"/>
  <c r="Q55" i="2"/>
  <c r="I50" i="3" s="1"/>
  <c r="AD20" i="2"/>
  <c r="CE17" i="2"/>
  <c r="CD15" i="2"/>
  <c r="J180" i="3"/>
  <c r="BC21" i="2"/>
  <c r="C153" i="3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AH18" i="2"/>
  <c r="CD18" i="2" s="1"/>
  <c r="CE16" i="2"/>
  <c r="AJ17" i="2"/>
  <c r="CF17" i="2" s="1"/>
  <c r="AK22" i="2"/>
  <c r="CG22" i="2" s="1"/>
  <c r="H22" i="3"/>
  <c r="B22" i="3" s="1"/>
  <c r="AB21" i="2"/>
  <c r="AK15" i="2"/>
  <c r="CG15" i="2" s="1"/>
  <c r="H154" i="3"/>
  <c r="R158" i="2"/>
  <c r="J154" i="3" s="1"/>
  <c r="AW19" i="2"/>
  <c r="AU19" i="2"/>
  <c r="AT19" i="2"/>
  <c r="AV19" i="2"/>
  <c r="J197" i="3"/>
  <c r="BI21" i="2"/>
  <c r="AJ14" i="2"/>
  <c r="J222" i="3"/>
  <c r="BU20" i="2"/>
  <c r="H172" i="3"/>
  <c r="R176" i="2"/>
  <c r="J172" i="3" s="1"/>
  <c r="H67" i="3"/>
  <c r="B67" i="3" s="1"/>
  <c r="P72" i="2"/>
  <c r="AK20" i="2"/>
  <c r="H69" i="3"/>
  <c r="B69" i="3" s="1"/>
  <c r="P74" i="2"/>
  <c r="K69" i="3" s="1"/>
  <c r="CJ22" i="2"/>
  <c r="CJ39" i="2"/>
  <c r="CP49" i="2"/>
  <c r="CJ19" i="2"/>
  <c r="CV14" i="2"/>
  <c r="CJ44" i="2"/>
  <c r="DB18" i="2"/>
  <c r="CP29" i="2"/>
  <c r="CV26" i="2"/>
  <c r="J76" i="3"/>
  <c r="AK14" i="2"/>
  <c r="CG14" i="2" s="1"/>
  <c r="J176" i="3"/>
  <c r="BC20" i="2"/>
  <c r="H174" i="3"/>
  <c r="AZ20" i="2"/>
  <c r="I187" i="3"/>
  <c r="BH19" i="2"/>
  <c r="DB27" i="2"/>
  <c r="CJ41" i="2"/>
  <c r="CV15" i="2"/>
  <c r="CJ27" i="2"/>
  <c r="CV17" i="2"/>
  <c r="CJ15" i="2"/>
  <c r="DB21" i="2"/>
  <c r="CP30" i="2"/>
  <c r="CV27" i="2"/>
  <c r="J205" i="3"/>
  <c r="BO21" i="2"/>
  <c r="J124" i="3"/>
  <c r="AQ19" i="2"/>
  <c r="H171" i="3"/>
  <c r="R175" i="2"/>
  <c r="J171" i="3" s="1"/>
  <c r="I125" i="3"/>
  <c r="AP20" i="2"/>
  <c r="H187" i="3"/>
  <c r="R191" i="2"/>
  <c r="BF19" i="2"/>
  <c r="H145" i="3"/>
  <c r="B145" i="3" s="1"/>
  <c r="AN14" i="2"/>
  <c r="CJ42" i="2"/>
  <c r="CV18" i="2"/>
  <c r="CV21" i="2"/>
  <c r="CJ34" i="2"/>
  <c r="CV20" i="2"/>
  <c r="CJ18" i="2"/>
  <c r="CP31" i="2"/>
  <c r="CP41" i="2"/>
  <c r="CV28" i="2"/>
  <c r="I191" i="3"/>
  <c r="BH20" i="2"/>
  <c r="H188" i="3"/>
  <c r="R192" i="2"/>
  <c r="J188" i="3" s="1"/>
  <c r="C204" i="3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I145" i="3"/>
  <c r="AP14" i="2"/>
  <c r="CF14" i="2" s="1"/>
  <c r="AJ22" i="2"/>
  <c r="CF22" i="2" s="1"/>
  <c r="AE21" i="2"/>
  <c r="CJ48" i="2"/>
  <c r="DB26" i="2"/>
  <c r="DB23" i="2"/>
  <c r="CJ33" i="2"/>
  <c r="CJ21" i="2"/>
  <c r="CP42" i="2"/>
  <c r="CP48" i="2"/>
  <c r="CJ40" i="2"/>
  <c r="H68" i="3"/>
  <c r="B68" i="3" s="1"/>
  <c r="P73" i="2"/>
  <c r="K68" i="3" s="1"/>
  <c r="J191" i="3"/>
  <c r="BI20" i="2"/>
  <c r="J125" i="3"/>
  <c r="AQ20" i="2"/>
  <c r="H129" i="3"/>
  <c r="B129" i="3" s="1"/>
  <c r="Q133" i="2"/>
  <c r="I129" i="3" s="1"/>
  <c r="H62" i="3"/>
  <c r="B62" i="3" s="1"/>
  <c r="AH17" i="2"/>
  <c r="CD17" i="2" s="1"/>
  <c r="AK18" i="2"/>
  <c r="CG18" i="2" s="1"/>
  <c r="H33" i="3"/>
  <c r="B33" i="3" s="1"/>
  <c r="C33" i="3" s="1"/>
  <c r="P38" i="2"/>
  <c r="AH21" i="2"/>
  <c r="CD21" i="2" s="1"/>
  <c r="Q38" i="2"/>
  <c r="DB22" i="2"/>
  <c r="CJ26" i="2"/>
  <c r="CJ30" i="2"/>
  <c r="CP14" i="2"/>
  <c r="CJ35" i="2"/>
  <c r="CJ32" i="2"/>
  <c r="CJ49" i="2"/>
  <c r="CP16" i="2"/>
  <c r="CJ47" i="2"/>
  <c r="AN20" i="2"/>
  <c r="J203" i="3"/>
  <c r="BO20" i="2"/>
  <c r="H34" i="3"/>
  <c r="B34" i="3" s="1"/>
  <c r="C34" i="3" s="1"/>
  <c r="C35" i="3" s="1"/>
  <c r="C36" i="3" s="1"/>
  <c r="C37" i="3" s="1"/>
  <c r="AH19" i="2"/>
  <c r="CJ29" i="2"/>
  <c r="CJ20" i="2"/>
  <c r="CJ25" i="2"/>
  <c r="CP17" i="2"/>
  <c r="CJ37" i="2"/>
  <c r="CJ36" i="2"/>
  <c r="CP22" i="2"/>
  <c r="CP19" i="2"/>
  <c r="N10" i="3"/>
  <c r="AH22" i="2"/>
  <c r="CD22" i="2" s="1"/>
  <c r="CJ46" i="2"/>
  <c r="CJ28" i="2"/>
  <c r="CP40" i="2"/>
  <c r="CP34" i="2"/>
  <c r="CP38" i="2"/>
  <c r="CP44" i="2"/>
  <c r="CP23" i="2"/>
  <c r="CV16" i="2"/>
  <c r="I16" i="3"/>
  <c r="AD21" i="2"/>
  <c r="J10" i="3"/>
  <c r="AE19" i="2"/>
  <c r="CJ24" i="2"/>
  <c r="CP43" i="2"/>
  <c r="CJ14" i="2"/>
  <c r="CJ38" i="2"/>
  <c r="CP45" i="2"/>
  <c r="CP18" i="2"/>
  <c r="CP24" i="2"/>
  <c r="CV19" i="2"/>
  <c r="CJ16" i="2"/>
  <c r="CP47" i="2"/>
  <c r="DB15" i="2"/>
  <c r="CP39" i="2"/>
  <c r="DB20" i="2"/>
  <c r="CP21" i="2"/>
  <c r="CP25" i="2"/>
  <c r="CV22" i="2"/>
  <c r="H157" i="3"/>
  <c r="AV20" i="2"/>
  <c r="AU20" i="2"/>
  <c r="CE20" i="2" s="1"/>
  <c r="AW20" i="2"/>
  <c r="AT20" i="2"/>
  <c r="H66" i="3"/>
  <c r="B66" i="3" s="1"/>
  <c r="Q71" i="2"/>
  <c r="H38" i="3"/>
  <c r="B38" i="3" s="1"/>
  <c r="AH20" i="2"/>
  <c r="H193" i="3"/>
  <c r="BF20" i="2"/>
  <c r="H122" i="3"/>
  <c r="B122" i="3" s="1"/>
  <c r="C122" i="3" s="1"/>
  <c r="C123" i="3" s="1"/>
  <c r="C124" i="3" s="1"/>
  <c r="C125" i="3" s="1"/>
  <c r="C126" i="3" s="1"/>
  <c r="C127" i="3" s="1"/>
  <c r="C128" i="3" s="1"/>
  <c r="AN19" i="2"/>
  <c r="I174" i="3"/>
  <c r="BB20" i="2"/>
  <c r="H155" i="3"/>
  <c r="R159" i="2"/>
  <c r="J155" i="3" s="1"/>
  <c r="J229" i="3"/>
  <c r="BU19" i="2"/>
  <c r="I45" i="3"/>
  <c r="AJ18" i="2"/>
  <c r="CF18" i="2" s="1"/>
  <c r="J34" i="3"/>
  <c r="AK19" i="2"/>
  <c r="DB24" i="2"/>
  <c r="CP15" i="2"/>
  <c r="DB14" i="2"/>
  <c r="CJ45" i="2"/>
  <c r="CP33" i="2"/>
  <c r="CP32" i="2"/>
  <c r="CP26" i="2"/>
  <c r="CV23" i="2"/>
  <c r="C229" i="3"/>
  <c r="C230" i="3" s="1"/>
  <c r="C231" i="3" s="1"/>
  <c r="C232" i="3" s="1"/>
  <c r="C233" i="3" s="1"/>
  <c r="H170" i="3"/>
  <c r="R174" i="2"/>
  <c r="AZ19" i="2"/>
  <c r="DB17" i="2"/>
  <c r="DB16" i="2"/>
  <c r="CJ23" i="2"/>
  <c r="DB25" i="2"/>
  <c r="CP46" i="2"/>
  <c r="CP35" i="2"/>
  <c r="CP36" i="2"/>
  <c r="CP27" i="2"/>
  <c r="CV24" i="2"/>
  <c r="H73" i="3"/>
  <c r="B73" i="3" s="1"/>
  <c r="AH14" i="2"/>
  <c r="H41" i="3"/>
  <c r="B41" i="3" s="1"/>
  <c r="Q46" i="2"/>
  <c r="I170" i="3"/>
  <c r="BB19" i="2"/>
  <c r="J13" i="3"/>
  <c r="AE20" i="2"/>
  <c r="I10" i="3"/>
  <c r="AD19" i="2"/>
  <c r="DB19" i="2"/>
  <c r="CJ31" i="2"/>
  <c r="DB28" i="2"/>
  <c r="CJ17" i="2"/>
  <c r="CP20" i="2"/>
  <c r="CP37" i="2"/>
  <c r="CJ43" i="2"/>
  <c r="CP28" i="2"/>
  <c r="CV25" i="2"/>
  <c r="C22" i="3" l="1"/>
  <c r="C23" i="3" s="1"/>
  <c r="C24" i="3" s="1"/>
  <c r="C25" i="3" s="1"/>
  <c r="C26" i="3" s="1"/>
  <c r="C27" i="3" s="1"/>
  <c r="C28" i="3" s="1"/>
  <c r="C29" i="3" s="1"/>
  <c r="AJ19" i="2"/>
  <c r="AP19" i="2"/>
  <c r="C38" i="3"/>
  <c r="C39" i="3" s="1"/>
  <c r="C40" i="3" s="1"/>
  <c r="K33" i="3"/>
  <c r="AI21" i="2"/>
  <c r="CE21" i="2" s="1"/>
  <c r="I66" i="3"/>
  <c r="AJ15" i="2"/>
  <c r="CF15" i="2" s="1"/>
  <c r="I41" i="3"/>
  <c r="AJ20" i="2"/>
  <c r="CF20" i="2" s="1"/>
  <c r="CD14" i="2"/>
  <c r="CG21" i="2"/>
  <c r="C41" i="3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R52" i="2"/>
  <c r="D251" i="2" s="1"/>
  <c r="CD20" i="2"/>
  <c r="CL52" i="2"/>
  <c r="C129" i="3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D19" i="2"/>
  <c r="J170" i="3"/>
  <c r="BC19" i="2"/>
  <c r="J187" i="3"/>
  <c r="BI19" i="2"/>
  <c r="K67" i="3"/>
  <c r="AI19" i="2"/>
  <c r="CE19" i="2" s="1"/>
  <c r="CV29" i="2"/>
  <c r="D252" i="2" s="1"/>
  <c r="I33" i="3"/>
  <c r="AJ21" i="2"/>
  <c r="CF21" i="2" s="1"/>
  <c r="DB29" i="2"/>
  <c r="D253" i="2" s="1"/>
  <c r="CG20" i="2"/>
  <c r="CG19" i="2" l="1"/>
  <c r="CF19" i="2"/>
  <c r="D250" i="2"/>
  <c r="D254" i="2" s="1"/>
  <c r="CZ45" i="2"/>
</calcChain>
</file>

<file path=xl/sharedStrings.xml><?xml version="1.0" encoding="utf-8"?>
<sst xmlns="http://schemas.openxmlformats.org/spreadsheetml/2006/main" count="2198" uniqueCount="841">
  <si>
    <t>TANK - HARDWARE LIST(PT)</t>
  </si>
  <si>
    <t>FORMAT NO : F/DSN/54</t>
  </si>
  <si>
    <t>VERSION : 1.4</t>
  </si>
  <si>
    <t>DATE</t>
  </si>
  <si>
    <t>WORK ORDER</t>
  </si>
  <si>
    <t>CUSTOMER</t>
  </si>
  <si>
    <t>REVISION</t>
  </si>
  <si>
    <t>RATING</t>
  </si>
  <si>
    <t>HARDWARE BELOW &amp; INCLUDING M12</t>
  </si>
  <si>
    <t>HARDWARE ABOVE M12</t>
  </si>
  <si>
    <t xml:space="preserve">SIZE </t>
  </si>
  <si>
    <t>MATERIAL</t>
  </si>
  <si>
    <t xml:space="preserve">NUT </t>
  </si>
  <si>
    <t>P. WASHER</t>
  </si>
  <si>
    <t>S. WASHER</t>
  </si>
  <si>
    <t>L.NUT</t>
  </si>
  <si>
    <t>M4</t>
  </si>
  <si>
    <t>M5</t>
  </si>
  <si>
    <t>M6</t>
  </si>
  <si>
    <t>M8</t>
  </si>
  <si>
    <t>M10</t>
  </si>
  <si>
    <t>M12</t>
  </si>
  <si>
    <t>M16</t>
  </si>
  <si>
    <t>M20</t>
  </si>
  <si>
    <t>M24</t>
  </si>
  <si>
    <t xml:space="preserve">BOLT SIZE </t>
  </si>
  <si>
    <t>BOLT QUANTITY</t>
  </si>
  <si>
    <t>M4X30</t>
  </si>
  <si>
    <t>HDG</t>
  </si>
  <si>
    <t>M5X30</t>
  </si>
  <si>
    <t>M10X40</t>
  </si>
  <si>
    <t>M12X40</t>
  </si>
  <si>
    <t>M12X50</t>
  </si>
  <si>
    <t>M12X60</t>
  </si>
  <si>
    <t>M12X70</t>
  </si>
  <si>
    <t>M12X75</t>
  </si>
  <si>
    <t>M16X50</t>
  </si>
  <si>
    <t>M16X55</t>
  </si>
  <si>
    <t>M16X60</t>
  </si>
  <si>
    <t>M16X70</t>
  </si>
  <si>
    <t>M16X80</t>
  </si>
  <si>
    <t>M16X220</t>
  </si>
  <si>
    <t>M20X70</t>
  </si>
  <si>
    <t>M20X80</t>
  </si>
  <si>
    <t>M20X90</t>
  </si>
  <si>
    <t>M20X270</t>
  </si>
  <si>
    <t>M24X100</t>
  </si>
  <si>
    <t>M24X110</t>
  </si>
  <si>
    <t>M24X320</t>
  </si>
  <si>
    <t>M12X220</t>
  </si>
  <si>
    <t>M8X40</t>
  </si>
  <si>
    <t>M8X35</t>
  </si>
  <si>
    <t>M5X40</t>
  </si>
  <si>
    <t>SS</t>
  </si>
  <si>
    <t xml:space="preserve">STUD SIZE </t>
  </si>
  <si>
    <t>STUD QUANTITY</t>
  </si>
  <si>
    <t>-</t>
  </si>
  <si>
    <t>NOTE:</t>
  </si>
  <si>
    <t>ALL STUDS ARE FIXED/WELD BY TANK VENDOR.</t>
  </si>
  <si>
    <t>PREPARED BY</t>
  </si>
  <si>
    <t>CHECKED BY</t>
  </si>
  <si>
    <t>APPROVED BY</t>
  </si>
  <si>
    <t>xx</t>
  </si>
  <si>
    <t xml:space="preserve">xx </t>
  </si>
  <si>
    <t>STD. DRG.No</t>
  </si>
  <si>
    <t>DRG. DESCRIPTION</t>
  </si>
  <si>
    <t>FASTENER SIZE</t>
  </si>
  <si>
    <t>QTY.</t>
  </si>
  <si>
    <t>REMARKS</t>
  </si>
  <si>
    <t>JOINT TYPE</t>
  </si>
  <si>
    <t>STUD</t>
  </si>
  <si>
    <t>BOLT</t>
  </si>
  <si>
    <t>NUT</t>
  </si>
  <si>
    <t>PLAIN WASHER</t>
  </si>
  <si>
    <t>SPRING WASHER</t>
  </si>
  <si>
    <t>Nut Size</t>
  </si>
  <si>
    <t>SD-1</t>
  </si>
  <si>
    <t>AIR CELL HOOK</t>
  </si>
  <si>
    <t>Nut height(IS:1364)</t>
  </si>
  <si>
    <t>SD-2</t>
  </si>
  <si>
    <t>AIR RELEASE PLUG</t>
  </si>
  <si>
    <t>Rounded to</t>
  </si>
  <si>
    <t>SD-3</t>
  </si>
  <si>
    <t>AIR RELEASE FLANGE</t>
  </si>
  <si>
    <t>ADDED TO 1"</t>
  </si>
  <si>
    <t>SD-4</t>
  </si>
  <si>
    <t>BEVEL GEAR SUPPORT (ESUN MR)</t>
  </si>
  <si>
    <t>SD-268</t>
  </si>
  <si>
    <t>BELOW &amp; INCLUDING M12</t>
  </si>
  <si>
    <t>SD-5</t>
  </si>
  <si>
    <t>BEVEL GEAR SUPPORT (CTR)</t>
  </si>
  <si>
    <t>ABOVE M12</t>
  </si>
  <si>
    <t>SD-6</t>
  </si>
  <si>
    <t>BLANKING PLATES</t>
  </si>
  <si>
    <t>ADDED IN CONCERNED FLANGES</t>
  </si>
  <si>
    <t>SD-7</t>
  </si>
  <si>
    <t>BOTTOM DRAIN VALVE</t>
  </si>
  <si>
    <t>ADDED TO 1", 2",3" VALVE ASM</t>
  </si>
  <si>
    <t>Plain Washer thickness</t>
  </si>
  <si>
    <t>SD-8</t>
  </si>
  <si>
    <t>1" PIPE SUPPORT CLAMP</t>
  </si>
  <si>
    <t>M12x45 LG</t>
  </si>
  <si>
    <t>Washer height(IS:2016)</t>
  </si>
  <si>
    <t>SD-9</t>
  </si>
  <si>
    <t>RADIATOR BLANKING PLATES</t>
  </si>
  <si>
    <t>ADDED TO RADIATOR</t>
  </si>
  <si>
    <t>SD-10</t>
  </si>
  <si>
    <t>BUFFER LOCATION POCKET</t>
  </si>
  <si>
    <t>M12x60 LG</t>
  </si>
  <si>
    <t>SD-11</t>
  </si>
  <si>
    <t>BUSHING MOUNTING FLANGE</t>
  </si>
  <si>
    <t>SD-11/P1</t>
  </si>
  <si>
    <t>P1</t>
  </si>
  <si>
    <t>TANK VENDOR WILL FIX AT WORKS</t>
  </si>
  <si>
    <t>SD-11/P2</t>
  </si>
  <si>
    <t>P2</t>
  </si>
  <si>
    <t>SD-11/P3</t>
  </si>
  <si>
    <t>P3</t>
  </si>
  <si>
    <t>SD-11/P4</t>
  </si>
  <si>
    <t>P4</t>
  </si>
  <si>
    <t>SD-11/P5</t>
  </si>
  <si>
    <t>P5</t>
  </si>
  <si>
    <t>SD-11/P6</t>
  </si>
  <si>
    <t>P6</t>
  </si>
  <si>
    <t>SD-11/P7</t>
  </si>
  <si>
    <t>P7</t>
  </si>
  <si>
    <t>SD-11/P8</t>
  </si>
  <si>
    <t>P8</t>
  </si>
  <si>
    <t>SD-11/P9</t>
  </si>
  <si>
    <t>P9</t>
  </si>
  <si>
    <t>SD-11/P10</t>
  </si>
  <si>
    <t>P10</t>
  </si>
  <si>
    <t>SD-11/P11</t>
  </si>
  <si>
    <t>P11</t>
  </si>
  <si>
    <t>SD-12</t>
  </si>
  <si>
    <t>CABLE TRAY SUPPORT</t>
  </si>
  <si>
    <t>SD-13</t>
  </si>
  <si>
    <t>CONSERVATOR FLANGE</t>
  </si>
  <si>
    <t>USING STD.CONSERVATOR DRG.</t>
  </si>
  <si>
    <t>SD-14</t>
  </si>
  <si>
    <t>CONSERVATOR HOLDING FRAME</t>
  </si>
  <si>
    <t>SD-15</t>
  </si>
  <si>
    <t>CORE EARTHING FRAME</t>
  </si>
  <si>
    <t>M12x25 LG</t>
  </si>
  <si>
    <t>FOR TANK EARTHING</t>
  </si>
  <si>
    <t>SD-16</t>
  </si>
  <si>
    <t>CT TERMINAL BOX (2 &amp; 4 TERMINAL)</t>
  </si>
  <si>
    <t>USING PSD-716 DRG.</t>
  </si>
  <si>
    <t>SD-17</t>
  </si>
  <si>
    <t>SD-18</t>
  </si>
  <si>
    <t>EARTHING PAD</t>
  </si>
  <si>
    <t>SD-19</t>
  </si>
  <si>
    <t>EPOXY CAST TERMINAL BOARD</t>
  </si>
  <si>
    <t>BOUGHT OUT ITEM</t>
  </si>
  <si>
    <t>SD-20</t>
  </si>
  <si>
    <t xml:space="preserve">EPOXY CAST TERMINAL BOARD ASSY 21 </t>
  </si>
  <si>
    <t>SD-21</t>
  </si>
  <si>
    <t>SD-22</t>
  </si>
  <si>
    <t>SD-23</t>
  </si>
  <si>
    <t>FAN HOLDING BRACKET</t>
  </si>
  <si>
    <t>OBSOLUTE</t>
  </si>
  <si>
    <t>SD-24</t>
  </si>
  <si>
    <t>PIPE AND FLANGE</t>
  </si>
  <si>
    <t>25NB PIPE JOINTS</t>
  </si>
  <si>
    <t>50NB PIPE JOINTS</t>
  </si>
  <si>
    <t>80NB PIPE JOINTS</t>
  </si>
  <si>
    <t>100NB PIPE JOINTS</t>
  </si>
  <si>
    <t>150NB PIPE JOINTS</t>
  </si>
  <si>
    <t>200NB PIPE JOINTS</t>
  </si>
  <si>
    <t>125NB PIPE JOINTS</t>
  </si>
  <si>
    <t>15NB PIPE JOINTS</t>
  </si>
  <si>
    <t>SD-25</t>
  </si>
  <si>
    <t>FLANGED ROLLER (250 DIA)</t>
  </si>
  <si>
    <t>ADDED IN  CONCERNED ROLLER ASM</t>
  </si>
  <si>
    <t>SD-26</t>
  </si>
  <si>
    <t>FLANGED ROLLER (280 DIA)</t>
  </si>
  <si>
    <t>SD-27</t>
  </si>
  <si>
    <t>FLANGED ROLLER (150 DIA)</t>
  </si>
  <si>
    <t>SD-28</t>
  </si>
  <si>
    <t>FLANGES WITH GROOVE TYPE</t>
  </si>
  <si>
    <t>ADDED IN  1", 2", 3" , 4" FLANGE JOINTS</t>
  </si>
  <si>
    <t>SD-29</t>
  </si>
  <si>
    <t>ADDED IN  6" &amp; 8" FLANGE JOINTS</t>
  </si>
  <si>
    <t>SD-30</t>
  </si>
  <si>
    <t>HANDLE</t>
  </si>
  <si>
    <t>SD-31</t>
  </si>
  <si>
    <t>HEADER SUPPORT STRUCTURE</t>
  </si>
  <si>
    <t>M16x50 LG</t>
  </si>
  <si>
    <t>DRG. NOT IN USE</t>
  </si>
  <si>
    <t>SD-32</t>
  </si>
  <si>
    <t>IMPACT RECORDER SUPPORT</t>
  </si>
  <si>
    <t>M10x30 LG</t>
  </si>
  <si>
    <t>SD-33</t>
  </si>
  <si>
    <t>INSPECTION COVER</t>
  </si>
  <si>
    <t>P12</t>
  </si>
  <si>
    <t>P13</t>
  </si>
  <si>
    <t>P14</t>
  </si>
  <si>
    <t>SD-34</t>
  </si>
  <si>
    <t>BOTTOM GUIDE PIN</t>
  </si>
  <si>
    <t>SD-35</t>
  </si>
  <si>
    <t>JOB LOCKING PAD (INSIDE OIL )</t>
  </si>
  <si>
    <t>INTERNAL HARDWARE</t>
  </si>
  <si>
    <t>SD-36</t>
  </si>
  <si>
    <t>LASHING LUG</t>
  </si>
  <si>
    <t>SD-37</t>
  </si>
  <si>
    <t>MONOGRAM PLATE</t>
  </si>
  <si>
    <t>ADDED IN SD-66</t>
  </si>
  <si>
    <t>SD-38</t>
  </si>
  <si>
    <t>LIFTING  LUG</t>
  </si>
  <si>
    <t>SD-39</t>
  </si>
  <si>
    <t>MAGNETIC OIL LEVEL GAUGE (D-100)</t>
  </si>
  <si>
    <t>SD-40</t>
  </si>
  <si>
    <t>MS BOSS (M12x20)</t>
  </si>
  <si>
    <t>SD-41</t>
  </si>
  <si>
    <t>N2 CYLINDER MOUNTING BRACKET</t>
  </si>
  <si>
    <t>TOTAL SET</t>
  </si>
  <si>
    <t>SD-42</t>
  </si>
  <si>
    <t>OLTC CONSERVATOR</t>
  </si>
  <si>
    <t>SD-43</t>
  </si>
  <si>
    <t>SD-44</t>
  </si>
  <si>
    <t>SD-45</t>
  </si>
  <si>
    <t>SD-46</t>
  </si>
  <si>
    <t>CONSERVATOR SEPERATOR MOUNTING FLANGE</t>
  </si>
  <si>
    <t/>
  </si>
  <si>
    <t>SD-47</t>
  </si>
  <si>
    <t>OLTC CONSERVATOR SUPPORT</t>
  </si>
  <si>
    <t>ADDED IN SD 42, 43</t>
  </si>
  <si>
    <t>SD-48</t>
  </si>
  <si>
    <t>PIN INSULATOR</t>
  </si>
  <si>
    <t>SD-49</t>
  </si>
  <si>
    <t>PIPE WITH FLANGE</t>
  </si>
  <si>
    <t>SD-50</t>
  </si>
  <si>
    <t>LIFTING  BOLLARD</t>
  </si>
  <si>
    <t>PSD-212</t>
  </si>
  <si>
    <t>SD-51</t>
  </si>
  <si>
    <t>PRISMATIC OIL LEVEL GAUGE</t>
  </si>
  <si>
    <t>M6x50 LG</t>
  </si>
  <si>
    <t>SD-52</t>
  </si>
  <si>
    <t>SD-53</t>
  </si>
  <si>
    <t>SD-54</t>
  </si>
  <si>
    <t>PRD MOUNTING PAD</t>
  </si>
  <si>
    <t>SD-55</t>
  </si>
  <si>
    <t>SD-56</t>
  </si>
  <si>
    <t>PULLING EYE</t>
  </si>
  <si>
    <t>SD-57</t>
  </si>
  <si>
    <t>RADIATOR PIPE AND FLANGE</t>
  </si>
  <si>
    <t>M16x130 LG</t>
  </si>
  <si>
    <t>SD-58</t>
  </si>
  <si>
    <t>ADDED IN SD 57</t>
  </si>
  <si>
    <t>SD-59</t>
  </si>
  <si>
    <t>SWITCH POCKET (OCTC HANDLE)</t>
  </si>
  <si>
    <t>M12x50 LG</t>
  </si>
  <si>
    <t>SD-60</t>
  </si>
  <si>
    <t>LABELS</t>
  </si>
  <si>
    <t>SD-61</t>
  </si>
  <si>
    <t>THERMOMETER POCKET</t>
  </si>
  <si>
    <t>SD-62</t>
  </si>
  <si>
    <t>TRANSPORT OIL LEVEL GAUGE</t>
  </si>
  <si>
    <t>M8x50 LG</t>
  </si>
  <si>
    <t>SD-63</t>
  </si>
  <si>
    <t>TURRET COVER</t>
  </si>
  <si>
    <t>MANUAL</t>
  </si>
  <si>
    <t>SD-64</t>
  </si>
  <si>
    <t>SD-65</t>
  </si>
  <si>
    <t>WELDED FAN SUPPORT</t>
  </si>
  <si>
    <t>M20x60 LG</t>
  </si>
  <si>
    <t>SD-66</t>
  </si>
  <si>
    <t>MONOGRAM PLATE FIXING</t>
  </si>
  <si>
    <t>M5x15 LG</t>
  </si>
  <si>
    <t>SD-67</t>
  </si>
  <si>
    <t>ROLLER ASSLY</t>
  </si>
  <si>
    <t>SD-68</t>
  </si>
  <si>
    <t>FLANGED ROLLER ASSLY</t>
  </si>
  <si>
    <t>SD-69</t>
  </si>
  <si>
    <t>SD-70</t>
  </si>
  <si>
    <t>15 NB PIPE AND FLANGE</t>
  </si>
  <si>
    <t>SD-71</t>
  </si>
  <si>
    <t>BEVEL GEAR JOINT</t>
  </si>
  <si>
    <t>SD-72</t>
  </si>
  <si>
    <t xml:space="preserve">EQUILIZING PIPE FOR E SUN MR </t>
  </si>
  <si>
    <t>SD-73</t>
  </si>
  <si>
    <t>ROUND TYPE INSPECTION COVER</t>
  </si>
  <si>
    <t>SD-74</t>
  </si>
  <si>
    <t>SD-75</t>
  </si>
  <si>
    <t>QUICK DRAIN PIPE AND FLANGE</t>
  </si>
  <si>
    <t>M16x60 LG</t>
  </si>
  <si>
    <t>SD-76</t>
  </si>
  <si>
    <t>PROTECTION COVER FOR FIBRE OPTIC SENSOR</t>
  </si>
  <si>
    <t>M5x25 LG</t>
  </si>
  <si>
    <t>SD-77</t>
  </si>
  <si>
    <t>RADIATOR TYING FLAT</t>
  </si>
  <si>
    <t>SD-78</t>
  </si>
  <si>
    <t>TURRET INSPECTION COVER</t>
  </si>
  <si>
    <t>SD-79</t>
  </si>
  <si>
    <t>PLAIN STIFFENER</t>
  </si>
  <si>
    <t>SD-80</t>
  </si>
  <si>
    <t>SD-81</t>
  </si>
  <si>
    <t>SD-82</t>
  </si>
  <si>
    <t>SD-83</t>
  </si>
  <si>
    <t>SD-84</t>
  </si>
  <si>
    <t>FAN FIXING SUPPORT</t>
  </si>
  <si>
    <t>SD-85</t>
  </si>
  <si>
    <t>SD-86</t>
  </si>
  <si>
    <t>OIL LEVEL GAUGE(PERFEX GLASS)</t>
  </si>
  <si>
    <t>SD-87</t>
  </si>
  <si>
    <t>SD-88</t>
  </si>
  <si>
    <t>REVERSE FLOW BLOCKING DEVICE</t>
  </si>
  <si>
    <t>SD-89</t>
  </si>
  <si>
    <t>STIFFENER</t>
  </si>
  <si>
    <t>SD-90</t>
  </si>
  <si>
    <t>SD-91</t>
  </si>
  <si>
    <t>OSR FLANGE</t>
  </si>
  <si>
    <t>M10x45</t>
  </si>
  <si>
    <t>SD-92</t>
  </si>
  <si>
    <t>ROLLER ASSLY (DIA 250 )</t>
  </si>
  <si>
    <t>SD-93</t>
  </si>
  <si>
    <t>ROLLER ASSLY (DIA 280 )</t>
  </si>
  <si>
    <t>SD-94</t>
  </si>
  <si>
    <t>ROLLER ASSLY (DIA 280  , BI DIRECTIONAL)</t>
  </si>
  <si>
    <t>SD-95</t>
  </si>
  <si>
    <t>ROLLER ASSLY (DIA 280, TWIN ASSLY )</t>
  </si>
  <si>
    <t>SD-96</t>
  </si>
  <si>
    <t>ROLLER ASSLY (DIA 280,TWIN )</t>
  </si>
  <si>
    <t>NA</t>
  </si>
  <si>
    <t>SD-97</t>
  </si>
  <si>
    <t>MOG</t>
  </si>
  <si>
    <t>M10x50 LG</t>
  </si>
  <si>
    <t>SD-98</t>
  </si>
  <si>
    <t>M10x45 LG</t>
  </si>
  <si>
    <t>SD-99</t>
  </si>
  <si>
    <t>SD-100</t>
  </si>
  <si>
    <t>SD-101</t>
  </si>
  <si>
    <t>BEVEL GEAR &amp; DM BOX SUPPORT</t>
  </si>
  <si>
    <t>SD-102</t>
  </si>
  <si>
    <t>SD-103</t>
  </si>
  <si>
    <t>SD-104</t>
  </si>
  <si>
    <t>SD-105</t>
  </si>
  <si>
    <t>SD-106</t>
  </si>
  <si>
    <t>PRESSURE GAUGE ASSLY</t>
  </si>
  <si>
    <t>SD-107</t>
  </si>
  <si>
    <t>ADOPTER FOR PRESSURE GAUGE</t>
  </si>
  <si>
    <t>SD-108</t>
  </si>
  <si>
    <t>SD-109</t>
  </si>
  <si>
    <t>SD-110</t>
  </si>
  <si>
    <t xml:space="preserve">HEADER SUPPORT </t>
  </si>
  <si>
    <t>SD-111</t>
  </si>
  <si>
    <t>CAST IRON FLAT STEEL</t>
  </si>
  <si>
    <t>SD-112</t>
  </si>
  <si>
    <t>PIPE FLANGE</t>
  </si>
  <si>
    <t>SD-401</t>
  </si>
  <si>
    <t>TRUNKING DETAILS (17.5kV/630A)</t>
  </si>
  <si>
    <t>TRUNK TO FLANGE HARDWARE</t>
  </si>
  <si>
    <t>CT CLAMP FIXING</t>
  </si>
  <si>
    <t>M12x30 LG</t>
  </si>
  <si>
    <t>JOINT TYPE - REF</t>
  </si>
  <si>
    <t>BOLT/ STUD</t>
  </si>
  <si>
    <t>REF-STD</t>
  </si>
  <si>
    <t>Tank curb Joint</t>
  </si>
  <si>
    <t>SD-267</t>
  </si>
  <si>
    <t>Gasket Joint</t>
  </si>
  <si>
    <t>Metal Joint</t>
  </si>
  <si>
    <t>SD-269</t>
  </si>
  <si>
    <t>Radiator Joint(Stud)</t>
  </si>
  <si>
    <t>SD-270/REF-1</t>
  </si>
  <si>
    <t>Radiator Joint(Bolt)</t>
  </si>
  <si>
    <t>SD-270/REF-2</t>
  </si>
  <si>
    <t>Welded Pad Joint</t>
  </si>
  <si>
    <t>SD-272</t>
  </si>
  <si>
    <t>WORK ORDER No.</t>
  </si>
  <si>
    <t>Nut, P &amp; S.Washer</t>
  </si>
  <si>
    <t>125 MVA,230/33kV</t>
  </si>
  <si>
    <t>Nut height (IS:1364)</t>
  </si>
  <si>
    <t>XXXX</t>
  </si>
  <si>
    <t>P.Washer height (IS:2016)</t>
  </si>
  <si>
    <t>TOTAL QTY</t>
  </si>
  <si>
    <t>S.Washer height (IS:3063)</t>
  </si>
  <si>
    <t>Thread Projection(Std)</t>
  </si>
  <si>
    <t>O</t>
  </si>
  <si>
    <t>P</t>
  </si>
  <si>
    <t>Q</t>
  </si>
  <si>
    <t>R</t>
  </si>
  <si>
    <t>R0</t>
  </si>
  <si>
    <t xml:space="preserve"> (VERSION 1.4)</t>
  </si>
  <si>
    <t>XX.XX.XX</t>
  </si>
  <si>
    <t>Red Colour : Input Cells</t>
  </si>
  <si>
    <t>Purple Colour : Standard/Fixed cells</t>
  </si>
  <si>
    <t>VALVES &amp; FLANGE JOINTS (T-20 / T-21 / T-25)</t>
  </si>
  <si>
    <t>TANK (T-01 / T-44 / T-48/ T-06)</t>
  </si>
  <si>
    <t>COVER (T-03)</t>
  </si>
  <si>
    <t xml:space="preserve">HV TRUNK / HV DC / HV CABLE BOX / HV BUSDUCT </t>
  </si>
  <si>
    <t xml:space="preserve">LV TRUNK / LV DC / LV CABLE BOX / LV BUSDUCT </t>
  </si>
  <si>
    <t>TERTIRY TRUNK/ CABLE BOX</t>
  </si>
  <si>
    <t>COOLING ASSEMBLY (T-25)</t>
  </si>
  <si>
    <t>CONSERVATOR &amp; AIR RELEASING PIPE ASSEMBLY</t>
  </si>
  <si>
    <t xml:space="preserve">FOUNDATION BOLTS </t>
  </si>
  <si>
    <t xml:space="preserve">TOTAL </t>
  </si>
  <si>
    <t xml:space="preserve">HDG </t>
  </si>
  <si>
    <t>FIRST RELEASE</t>
  </si>
  <si>
    <t>UPDATED BUTTERFLY VALVE STUD MISSING ERROR, CURB BOLT PLAIN WASHER QTY, SPRING WASHERS ADDED.</t>
  </si>
  <si>
    <t>BUFFER LOCATION POCKET QTY 3 ADDED, PRISMATIC AUGE NOS CHANGED</t>
  </si>
  <si>
    <t>TOTAL SHEET UPDATED W.R.T LATEST STANDARD DRG, BASED ON FA AND SCM FEEDBACK.</t>
  </si>
  <si>
    <t>JOINT LOCATION</t>
  </si>
  <si>
    <t>QTY / INPUT</t>
  </si>
  <si>
    <t>STD DRG/
FAB DRG/QTY</t>
  </si>
  <si>
    <t>SIZE</t>
  </si>
  <si>
    <t>PLATE-1</t>
  </si>
  <si>
    <t>GASKET/ VALVE</t>
  </si>
  <si>
    <t>PLATE-2</t>
  </si>
  <si>
    <t>NUT + P.WASHER + S.WASHER + L.NUT</t>
  </si>
  <si>
    <t>ACTUAL LENGTH</t>
  </si>
  <si>
    <t>FREEZED LENGTH</t>
  </si>
  <si>
    <t>BOLT / STUD SIZE</t>
  </si>
  <si>
    <t>BOLT / STUD-QTY</t>
  </si>
  <si>
    <t>M4X30-HDG</t>
  </si>
  <si>
    <t>M4X30-SS</t>
  </si>
  <si>
    <t>M8-STUDX50-HDG</t>
  </si>
  <si>
    <t>M8-STUDX50-SS</t>
  </si>
  <si>
    <t xml:space="preserve">15NB GATE VALVE ASSEMBLY (SAMPLING) </t>
  </si>
  <si>
    <t>PSD-725</t>
  </si>
  <si>
    <t>M5X30-HDG</t>
  </si>
  <si>
    <t>M5X30-SS</t>
  </si>
  <si>
    <t>M8-STUDX40-HDG</t>
  </si>
  <si>
    <t>M8-STUDX40-SS</t>
  </si>
  <si>
    <t>25NB GATE VALVE ASSEMBLY (SAMPLING/DGA/NIFPS/ODS)</t>
  </si>
  <si>
    <t>M5X70-HDG</t>
  </si>
  <si>
    <t>M5X70-SS</t>
  </si>
  <si>
    <t>M10-STUDX30-HDG</t>
  </si>
  <si>
    <t>M10-STUDX30-SS</t>
  </si>
  <si>
    <t xml:space="preserve">50NB GATE VALVE ASSEMBLY (TOP &amp; BOTTOM FILTER) </t>
  </si>
  <si>
    <t>M8X30-HDG</t>
  </si>
  <si>
    <t>M8X30-SS</t>
  </si>
  <si>
    <t>M10-STUDX40-HDG</t>
  </si>
  <si>
    <t>M10-STUDX40-SS</t>
  </si>
  <si>
    <t xml:space="preserve">80NB GATE VALVE ASSEMBLY (BOTTOM DRAIN) </t>
  </si>
  <si>
    <t>M8X50-HDG</t>
  </si>
  <si>
    <t>M8X50-SS</t>
  </si>
  <si>
    <t>M10-STUDX75-HDG</t>
  </si>
  <si>
    <t>M10-STUDX75-SS</t>
  </si>
  <si>
    <t>100NB GATE VALVE ASSEMBLY (BOTTOM/QUICK DRAIN)</t>
  </si>
  <si>
    <t>M10X40-HDG</t>
  </si>
  <si>
    <t>M10X40-SS</t>
  </si>
  <si>
    <t>M12-STUDX40-HDG</t>
  </si>
  <si>
    <t>M12-STUDX40-SS</t>
  </si>
  <si>
    <t>125NB GATE VALVE ASSEMBLY (NIFPS QUICK DRAIN)</t>
  </si>
  <si>
    <t>M10X50-HDG</t>
  </si>
  <si>
    <t>M10X50-SS</t>
  </si>
  <si>
    <t>M12-STUDX50-HDG</t>
  </si>
  <si>
    <t>M12-STUDX50-SS</t>
  </si>
  <si>
    <t>150NB GATE VALVE ASSEMBLY (COOLING/DRAIN)</t>
  </si>
  <si>
    <t>M12X40-HDG</t>
  </si>
  <si>
    <t>M12X40-SS</t>
  </si>
  <si>
    <t>M12-STUDX60-HDG</t>
  </si>
  <si>
    <t>M12-STUDX60-SS</t>
  </si>
  <si>
    <t>200NB GATE VALVE ASSEMBLY (COOLING/DRAIN)</t>
  </si>
  <si>
    <t>M12X50-HDG</t>
  </si>
  <si>
    <t>M12X50-SS</t>
  </si>
  <si>
    <t>M12-STUDX70-HDG</t>
  </si>
  <si>
    <t>M12-STUDX70-SS</t>
  </si>
  <si>
    <t>80NB BUTTERFLY VALVE ASSEMBLY (VACUUM BREAK)</t>
  </si>
  <si>
    <t>SD-270</t>
  </si>
  <si>
    <t>M12X60-HDG</t>
  </si>
  <si>
    <t>M12X60-SS</t>
  </si>
  <si>
    <t>M12-STUDX80-HDG</t>
  </si>
  <si>
    <t>M12-STUDX80-SS</t>
  </si>
  <si>
    <t>100NB BUTTERFLY VALVE ASSEMBLY</t>
  </si>
  <si>
    <t>M12X70-HDG</t>
  </si>
  <si>
    <t>M12X70-SS</t>
  </si>
  <si>
    <t>M12-STUDX85-HDG</t>
  </si>
  <si>
    <t>M12-STUDX85-SS</t>
  </si>
  <si>
    <t>125NB BUTTERFLY VALVE ASSEMBLY (NIFPS QUICK DRAIN)</t>
  </si>
  <si>
    <t>M12X75-HDG</t>
  </si>
  <si>
    <t>M12X75-SS</t>
  </si>
  <si>
    <t>M16-STUDX75-HDG</t>
  </si>
  <si>
    <t>M16-STUDX75-SS</t>
  </si>
  <si>
    <t>150NB BUTTERFLY VALVE ASSEMBLY</t>
  </si>
  <si>
    <t>M12X80-HDG</t>
  </si>
  <si>
    <t>M12X80-SS</t>
  </si>
  <si>
    <t>M20-STUDX140-HDG</t>
  </si>
  <si>
    <t>M20-STUDX140-SS</t>
  </si>
  <si>
    <t>200NB BUTTERFLY VALVE ASSEMBLY</t>
  </si>
  <si>
    <t>M16X50-HDG</t>
  </si>
  <si>
    <t>M16X50-SS</t>
  </si>
  <si>
    <t>M16-STUDX130-HDG</t>
  </si>
  <si>
    <t>M16-STUDX130-SS</t>
  </si>
  <si>
    <t>NO OF 15NB FLANGE JOINTS</t>
  </si>
  <si>
    <t>M16X55-HDG</t>
  </si>
  <si>
    <t>M16X55-SS</t>
  </si>
  <si>
    <t>M16-STUDX140-HDG</t>
  </si>
  <si>
    <t>M16-STUDX140-SS</t>
  </si>
  <si>
    <t>NO OF 50NB FLANGE JOINTS</t>
  </si>
  <si>
    <t>M16X60-HDG</t>
  </si>
  <si>
    <t>M16X60-SS</t>
  </si>
  <si>
    <t>NO OF 80NB FLANGE JOINTS (RADIATOR FLANGE)</t>
  </si>
  <si>
    <t>M16X70-HDG</t>
  </si>
  <si>
    <t>M16X70-SS</t>
  </si>
  <si>
    <t>NO OF 125NB FLANGE JOINTS</t>
  </si>
  <si>
    <t>M16X80-HDG</t>
  </si>
  <si>
    <t>M16X80-SS</t>
  </si>
  <si>
    <t>NO OF 150NB FLANGE JOINTS</t>
  </si>
  <si>
    <t>M16X90-HDG</t>
  </si>
  <si>
    <t>M16X90-SS</t>
  </si>
  <si>
    <t>NO OF 200NB FLANGE JOINTS</t>
  </si>
  <si>
    <t>M16X100-HDG</t>
  </si>
  <si>
    <t>M16X100-SS</t>
  </si>
  <si>
    <t>NO OF 250NB FLANGE JOINTS</t>
  </si>
  <si>
    <t>M16X210-HDG</t>
  </si>
  <si>
    <t>M16X210-SS</t>
  </si>
  <si>
    <t>M16X220-HDG</t>
  </si>
  <si>
    <t>M16X220-SS</t>
  </si>
  <si>
    <t>M20X70-HDG</t>
  </si>
  <si>
    <t>M20X70-SS</t>
  </si>
  <si>
    <t>CURB BOLT ASM</t>
  </si>
  <si>
    <t>T-49</t>
  </si>
  <si>
    <t>M20X80-HDG</t>
  </si>
  <si>
    <t>M20X80-SS</t>
  </si>
  <si>
    <t>ROLLER MOUNTING PAD</t>
  </si>
  <si>
    <t>280 ( SD-94 )</t>
  </si>
  <si>
    <t>M20X90-HDG</t>
  </si>
  <si>
    <t>M20X90-SS</t>
  </si>
  <si>
    <t xml:space="preserve">HVN TURRET ASSEMBLY - WELDED </t>
  </si>
  <si>
    <t>Ø550</t>
  </si>
  <si>
    <t>PSD-649</t>
  </si>
  <si>
    <t>TOP FLANGE HARDWARE</t>
  </si>
  <si>
    <t>M20X100-HDG</t>
  </si>
  <si>
    <t>M20X100-SS</t>
  </si>
  <si>
    <t>MENTION THE HEIGHT OF TURRET (A) IN INPUT BOX FOR INSPECTION COVER HARDWARE</t>
  </si>
  <si>
    <t>M20X120-HDG</t>
  </si>
  <si>
    <t>M20X120-SS</t>
  </si>
  <si>
    <t>SD-11/04</t>
  </si>
  <si>
    <t>BUSHING PAD</t>
  </si>
  <si>
    <t>M20X270-HDG</t>
  </si>
  <si>
    <t>M20X270-SS</t>
  </si>
  <si>
    <t>CT</t>
  </si>
  <si>
    <t>CT HARDWARE</t>
  </si>
  <si>
    <t>M24X100-HDG</t>
  </si>
  <si>
    <t>M24X100-SS</t>
  </si>
  <si>
    <t>HVN TURRET ASSEMBLY - SPLIT (PSD-650)</t>
  </si>
  <si>
    <t>Ø800</t>
  </si>
  <si>
    <t>PSD-650</t>
  </si>
  <si>
    <t>M24X110-HDG</t>
  </si>
  <si>
    <t>M24X110-SS</t>
  </si>
  <si>
    <t>MENTION THE HEIGHT (A) OF TURRET IN INPUT BOX FOR INSPECTION COVER HARDWARE</t>
  </si>
  <si>
    <t>M24X320-HDG</t>
  </si>
  <si>
    <t>M24X320-SS</t>
  </si>
  <si>
    <t>SD-11/10</t>
  </si>
  <si>
    <t>M12X220-HDG</t>
  </si>
  <si>
    <t>M12X220-SS</t>
  </si>
  <si>
    <t>BOTTOM FLANGE HARDWARE</t>
  </si>
  <si>
    <t>M20X60-HDG</t>
  </si>
  <si>
    <t>M20X60-SS</t>
  </si>
  <si>
    <t>M8X40-HDG</t>
  </si>
  <si>
    <t>M8X40-SS</t>
  </si>
  <si>
    <t>LVN TURRET ASSEMBLY - WELDED (PSD-649)</t>
  </si>
  <si>
    <t>M8X35-HDG</t>
  </si>
  <si>
    <t>M8X35-SS</t>
  </si>
  <si>
    <t>M5X40-HDG</t>
  </si>
  <si>
    <t>M5X40-SS</t>
  </si>
  <si>
    <t>SD-11/01</t>
  </si>
  <si>
    <t>LVN TURRET ASSEMBLY - SPLIT (PSD-650)</t>
  </si>
  <si>
    <t xml:space="preserve">OLTC INSPECTION COVER ASM - HV SIDE </t>
  </si>
  <si>
    <t>ASM-1</t>
  </si>
  <si>
    <t>PSD-686</t>
  </si>
  <si>
    <t>OLTC INSPECTION COVER ASM - LV SIDE - 1</t>
  </si>
  <si>
    <t>ASM-2</t>
  </si>
  <si>
    <t>OLTC INSPECTION COVER ASM - LV SIDE - 2</t>
  </si>
  <si>
    <t>ASM-14</t>
  </si>
  <si>
    <t>INSPECTION COVER ASM - HV BUSHING</t>
  </si>
  <si>
    <t>ASM-13</t>
  </si>
  <si>
    <t xml:space="preserve">INSPECTION COVER ASM - IV BUSHING </t>
  </si>
  <si>
    <t>ASM-12</t>
  </si>
  <si>
    <t>INSPECTION COVER ASM - LV BUSHING</t>
  </si>
  <si>
    <t>ASM-11</t>
  </si>
  <si>
    <t xml:space="preserve">INSPECTION COVER ASM - HVN BUSHING </t>
  </si>
  <si>
    <t>ASM-10</t>
  </si>
  <si>
    <t xml:space="preserve">INSPECTION COVER ASM - LVN BUSHING </t>
  </si>
  <si>
    <t>ASM-9</t>
  </si>
  <si>
    <t xml:space="preserve">TRANSPORT OIL LEVEL GAUGE </t>
  </si>
  <si>
    <t>SD-223</t>
  </si>
  <si>
    <t xml:space="preserve">LADDER ASSEMBLY </t>
  </si>
  <si>
    <t>SUPPORT 4</t>
  </si>
  <si>
    <t>PSD-219</t>
  </si>
  <si>
    <t xml:space="preserve">N2 CYLINDER MOUTING ASSEMBLY </t>
  </si>
  <si>
    <t xml:space="preserve">AUTOMATIC PRESSURE REGULATOR MTG </t>
  </si>
  <si>
    <t>PSD-742</t>
  </si>
  <si>
    <t>INDOTECH NAME PLATE ASSEMBLY</t>
  </si>
  <si>
    <t>SD-66/REF-4</t>
  </si>
  <si>
    <t>SD -66</t>
  </si>
  <si>
    <t>PIN INSULATOR SUPPORT (SD-48) HVN</t>
  </si>
  <si>
    <t>PART 1</t>
  </si>
  <si>
    <t>PIN INSULATOR SUPPORT (SD-48) LVN</t>
  </si>
  <si>
    <t>PIN INSULATOR SUPPORT (SD-48) TVN</t>
  </si>
  <si>
    <t xml:space="preserve">RATING PLATE </t>
  </si>
  <si>
    <t>PSD-670</t>
  </si>
  <si>
    <t xml:space="preserve">VALVE SCHEDULE PLATE </t>
  </si>
  <si>
    <t xml:space="preserve">OIL FILLING INSTRUCTION PLATE </t>
  </si>
  <si>
    <t>DO'S &amp; DONT'S PLATE SUPPORT</t>
  </si>
  <si>
    <t>BCT PLATE SUPPORT</t>
  </si>
  <si>
    <t>GAS COLLECTING SUPPORT</t>
  </si>
  <si>
    <t xml:space="preserve">EARTHING BOSS </t>
  </si>
  <si>
    <t>SD-18 REF-1</t>
  </si>
  <si>
    <t>SD-18 REF-2</t>
  </si>
  <si>
    <t xml:space="preserve">IMPACT RECORDER ASSEMBLY </t>
  </si>
  <si>
    <t>NIFPS SIGNAL BOX ASSEMBLY</t>
  </si>
  <si>
    <t xml:space="preserve"> PSD-672</t>
  </si>
  <si>
    <t>TANK SHUNT ASSEMBLY (EARTHING BOLT)</t>
  </si>
  <si>
    <t>T-51</t>
  </si>
  <si>
    <t xml:space="preserve">OLTC CONSERVATOR WITH MOG </t>
  </si>
  <si>
    <t>PSD-718 / 719</t>
  </si>
  <si>
    <t>FLANGE</t>
  </si>
  <si>
    <t>25NB JOINT</t>
  </si>
  <si>
    <t xml:space="preserve">OLTC CONSERVATOR WITH NO MOG </t>
  </si>
  <si>
    <t xml:space="preserve">PRV DRAIN PIPE ASSEMBLY </t>
  </si>
  <si>
    <t>T-35</t>
  </si>
  <si>
    <t>FLANGE JOINTS</t>
  </si>
  <si>
    <t>M12X40MM</t>
  </si>
  <si>
    <t>SUPPORT CLAMP</t>
  </si>
  <si>
    <t>M12X50MM</t>
  </si>
  <si>
    <t>RADIATOR TIE BAR ASSEMBLY</t>
  </si>
  <si>
    <t>T-57</t>
  </si>
  <si>
    <t>HOLDER - RAD.TIE</t>
  </si>
  <si>
    <t>M12X60MM</t>
  </si>
  <si>
    <t>RAD.TIE BOTTOM</t>
  </si>
  <si>
    <t>M12X70MM</t>
  </si>
  <si>
    <t>RADIATOR TIE FLAT</t>
  </si>
  <si>
    <t xml:space="preserve"> SD-77</t>
  </si>
  <si>
    <t>NO.OF RADIATORS</t>
  </si>
  <si>
    <t>M12X75MM</t>
  </si>
  <si>
    <t>BEVEL GEAR SUPPORT TO TANK ( ESUN )</t>
  </si>
  <si>
    <t>SD -04 &amp; 05</t>
  </si>
  <si>
    <t>1-POLE / 3-POLE</t>
  </si>
  <si>
    <t>M12X80MM</t>
  </si>
  <si>
    <t>IMMEDIATE BEVEL GEAR SUPPORT TO TANK</t>
  </si>
  <si>
    <t>M12X90MM</t>
  </si>
  <si>
    <t>OLTC MD ASSEMBLY</t>
  </si>
  <si>
    <t>MD FIXING HARDWARE</t>
  </si>
  <si>
    <t>M16X40MM</t>
  </si>
  <si>
    <t>OLTC BEVEL GEAR ASSEMBLY</t>
  </si>
  <si>
    <t>BEVEL GEAR</t>
  </si>
  <si>
    <t>M16X50MM</t>
  </si>
  <si>
    <t>OLTC INTERMEDIATE SUPPORT</t>
  </si>
  <si>
    <t>INTERMEDIATE BEVEL GEAR</t>
  </si>
  <si>
    <t>M16X60MM</t>
  </si>
  <si>
    <t>HV NEUTRAL EARTHING FLAT CONN. ASM</t>
  </si>
  <si>
    <t>M16X70MM</t>
  </si>
  <si>
    <t>LV NEUTRAL EARTHING FLAT CONN. ASM</t>
  </si>
  <si>
    <t>M16X80MM</t>
  </si>
  <si>
    <t>FOS MOUNTING ASSEMBLY</t>
  </si>
  <si>
    <t>M16X90MM</t>
  </si>
  <si>
    <t>FOS INSPECTION COVER ASM</t>
  </si>
  <si>
    <t xml:space="preserve"> PSD-686</t>
  </si>
  <si>
    <t>ONLINE DGA MOUNTING</t>
  </si>
  <si>
    <t>ONLINE DRYOUT SYSTEM MOUNTING</t>
  </si>
  <si>
    <t>EXT.OLTC FLANGE (STUD &amp; BOLT)</t>
  </si>
  <si>
    <t>BOTTOM TANK PROP SUPPORT</t>
  </si>
  <si>
    <t>HV CABLE BOX TANK SUPPORT</t>
  </si>
  <si>
    <t>LV CABLE BOX TANK SUPPORT</t>
  </si>
  <si>
    <t>TV CABLE BOX TANK SUPPORT</t>
  </si>
  <si>
    <t xml:space="preserve">200/150NB GROUND PIPE SUPPORT CLAMP </t>
  </si>
  <si>
    <t>PIPE SUPPORTS - OLTC OSR &amp; SUCTION</t>
  </si>
  <si>
    <t>LIGHTNING ARRESTER SUPPORT</t>
  </si>
  <si>
    <t>THERMOSYPHON FILTER ASSEMBLY</t>
  </si>
  <si>
    <t xml:space="preserve">HV - U TURRET ASSEMBLY - WELDED </t>
  </si>
  <si>
    <t>INSPECTION COVER HARDWARE</t>
  </si>
  <si>
    <t>SD-11/03</t>
  </si>
  <si>
    <t>HV - V&amp;W TURRET ASSEMBLY - SPLIT (PSD-650)</t>
  </si>
  <si>
    <t>LV - U TURRET ASSEMBLY - WELDED (PSD-649)</t>
  </si>
  <si>
    <t xml:space="preserve">INSPECTION COVER HARDWARE </t>
  </si>
  <si>
    <t xml:space="preserve">LV - V&amp;W TURRET ASSEMBLY - SPLIT </t>
  </si>
  <si>
    <t>OLTC FLANGE (CTR/E-MR)</t>
  </si>
  <si>
    <t xml:space="preserve">BUFFER LOCKING </t>
  </si>
  <si>
    <t>PSD-721</t>
  </si>
  <si>
    <t>CORE EARTHING (PSD-722)</t>
  </si>
  <si>
    <t>PRV MOUNTING ASSEMBLY (SD-54)</t>
  </si>
  <si>
    <t>SAFETY POLE ASSEMBLY</t>
  </si>
  <si>
    <t>FIRE DETECTOR MOUNTING SUPPORT(CTR)</t>
  </si>
  <si>
    <t xml:space="preserve">BUCHHOLZ RELAY PIPE &amp; FLANGE (80 NB) </t>
  </si>
  <si>
    <t>SPRD MOUNTING ASSEMBLY</t>
  </si>
  <si>
    <t>SPL. INSPECTION COVER 1 (PSD-686)</t>
  </si>
  <si>
    <t>SPL. INSPECTION COVER 2 (PSD-686)</t>
  </si>
  <si>
    <t>HV TRUNK / HV DC / HV CABLE BOX / HV BUSDUCT (T-10 / T-11 / T-19 / T-60)</t>
  </si>
  <si>
    <t xml:space="preserve">DC INSPECTION COVER </t>
  </si>
  <si>
    <t>TRUNK TO DC CONNECTION</t>
  </si>
  <si>
    <t>DC TO CABLE BOX CONNECTION</t>
  </si>
  <si>
    <t>TANK TO TRUNK CONNECTION</t>
  </si>
  <si>
    <t xml:space="preserve">TRUNK INSPECTION COVER </t>
  </si>
  <si>
    <t>TRUNK CT TERMINAL BOX</t>
  </si>
  <si>
    <t>PAD FLANGE FOR GLAND PLATE (CABLE BOX)</t>
  </si>
  <si>
    <t>No.Plate: 3</t>
  </si>
  <si>
    <t>CABLE BOX SUPPORT ASSEMBLY</t>
  </si>
  <si>
    <t>C/BOX SUPPORT CONNECTING CHANNEL</t>
  </si>
  <si>
    <t>ANGLE FOR FRONT INSPECTION COVER(CABLE BOX)</t>
  </si>
  <si>
    <t>CU FLAT &amp; JUMPER</t>
  </si>
  <si>
    <t>INSULATOR TO  CABLE BOX</t>
  </si>
  <si>
    <t>GI FLAT TO INSULATOR</t>
  </si>
  <si>
    <t>CU FLAT TO GI FLAT</t>
  </si>
  <si>
    <t>EARTHING BOSS</t>
  </si>
  <si>
    <t>LV TRUNK / LV DC / LV CABLE BOX / LV BUSDUCT (T-08 / T-09 / T-18 / T-59)</t>
  </si>
  <si>
    <t>RADIATOR TANK MOUNTING ASSEMBLY</t>
  </si>
  <si>
    <t>RADIATOR A-FRAME MOUNTING ASSEMBLY</t>
  </si>
  <si>
    <t>A FRAME TO TOP HEADER</t>
  </si>
  <si>
    <t>A FRAME TO BOTTOM HEADER</t>
  </si>
  <si>
    <t>A FRAME JOINT</t>
  </si>
  <si>
    <t>CENTER I - SUPPORT</t>
  </si>
  <si>
    <t>LADDER ASSEMBLY</t>
  </si>
  <si>
    <t xml:space="preserve">PIPE SUPPORTS </t>
  </si>
  <si>
    <t>TOP COOLING HEADER 25NB FILTER VALVE ASM</t>
  </si>
  <si>
    <t>BOTTOM COOLING HEADER 25NB FILTER VALVE ASM</t>
  </si>
  <si>
    <t>FAN TO FAN FRAME</t>
  </si>
  <si>
    <t>FAN MOUNTING ASSEMBLY</t>
  </si>
  <si>
    <t>FAN MOUNTING SUPPORT ASSEMBLY</t>
  </si>
  <si>
    <t>FAN FRAME TO SUPPORT</t>
  </si>
  <si>
    <t>NRV (INSIDE)</t>
  </si>
  <si>
    <t>CONSERVATOR &amp; AIR RELEASING PIPE ASSEMBLY (T-20)</t>
  </si>
  <si>
    <t>CONSERVATOR ASSEMBLY</t>
  </si>
  <si>
    <t>CONSERVATOR FRAME SUPPORT</t>
  </si>
  <si>
    <t>CONSERVATOR FRAME SUPPORT CROSS/CONNECTING ASM</t>
  </si>
  <si>
    <t>OLTC CONSERVATOR ASSEMBLY</t>
  </si>
  <si>
    <t xml:space="preserve">80NB CONSERVATOR CONNECTING PIPE JOINTS </t>
  </si>
  <si>
    <t xml:space="preserve">25NB AIR RELEASING PIPE JOINTS </t>
  </si>
  <si>
    <t>SMART BREATHER SUPPORT</t>
  </si>
  <si>
    <t>25NB PIPE HOLDING CLAMPS</t>
  </si>
  <si>
    <t>FAN MOUNTING SUPPORT</t>
  </si>
  <si>
    <t>FOUNDATION BOLTS (CD-02)</t>
  </si>
  <si>
    <t>FOUNDATION BOLT - M24x300 (PSD-510/REF-4)</t>
  </si>
  <si>
    <t>PSD-510</t>
  </si>
  <si>
    <t>FOUNDATION BOLT - M20x250 (PSD-510/REF-3)</t>
  </si>
  <si>
    <t>FOUNDATION BOLT - M16x200 (PSD-510/REF-2)</t>
  </si>
  <si>
    <t>FOUNDATION BOLT - M12x200 (PSD-510/REF-1)</t>
  </si>
  <si>
    <t xml:space="preserve">NAME </t>
  </si>
  <si>
    <t>TOTAL FOR
 TANK
SHEET</t>
  </si>
  <si>
    <t>TOTAL FOR 
FINAL
SHEET</t>
  </si>
  <si>
    <t>BOLT - HDG</t>
  </si>
  <si>
    <t>/</t>
  </si>
  <si>
    <t>BOLT - SS</t>
  </si>
  <si>
    <t xml:space="preserve">STUD - HDG </t>
  </si>
  <si>
    <t>STUD - SS</t>
  </si>
  <si>
    <t xml:space="preserve">BOLT/STUD (REFER NOTE) </t>
  </si>
  <si>
    <t>JOINT LOCATIOIN</t>
  </si>
  <si>
    <t>SIZE-MATERIAL</t>
  </si>
  <si>
    <t>QTY</t>
  </si>
  <si>
    <t>STD.REF</t>
  </si>
  <si>
    <t xml:space="preserve">DONOT MODIFY ANY CELL IN THIS PAGE </t>
  </si>
  <si>
    <t>USE THIS BUTTON ONLY TO PRINT PAGE</t>
  </si>
  <si>
    <t>HARDWARE LIST              (FINAL QUANTITY)</t>
  </si>
  <si>
    <t>FORMAT NO</t>
  </si>
  <si>
    <t>F/DSN/54</t>
  </si>
  <si>
    <t>FULL NUT</t>
  </si>
  <si>
    <t>LOCK NUT</t>
  </si>
  <si>
    <t>SPRING WASHER-SS</t>
  </si>
  <si>
    <t>BOLT SIZE AND MATERIAL</t>
  </si>
  <si>
    <t>VINOTH</t>
  </si>
  <si>
    <t>STUD SIZE AND MATERIAL</t>
  </si>
  <si>
    <t>PREPARED</t>
  </si>
  <si>
    <t>CHECKED</t>
  </si>
  <si>
    <t>APPROVED</t>
  </si>
  <si>
    <t>NKK</t>
  </si>
  <si>
    <t>JN</t>
  </si>
  <si>
    <t>SM</t>
  </si>
  <si>
    <t>TANK</t>
  </si>
  <si>
    <t xml:space="preserve">CURB </t>
  </si>
  <si>
    <t>OLTC FLANGE</t>
  </si>
  <si>
    <t>RATING PLATE</t>
  </si>
  <si>
    <t>Bolt Size</t>
  </si>
  <si>
    <t>Full nut Thk.</t>
  </si>
  <si>
    <t>Lock nut thk.</t>
  </si>
  <si>
    <t>Plain washer thk.</t>
  </si>
  <si>
    <t>Spring washer thk.</t>
  </si>
  <si>
    <t>Stud Projection</t>
  </si>
  <si>
    <t>f+2p+sp</t>
  </si>
  <si>
    <t>f+p+sp</t>
  </si>
  <si>
    <t>f+l+2p+sp</t>
  </si>
  <si>
    <t>2f+2p+2sp</t>
  </si>
  <si>
    <t xml:space="preserve">NO NUT </t>
  </si>
  <si>
    <t>F+2P+S+SP</t>
  </si>
  <si>
    <t>f+2p+2s+sp</t>
  </si>
  <si>
    <t>p+s</t>
  </si>
  <si>
    <t>VALVE SCHEDULE PLATE</t>
  </si>
  <si>
    <t>OIL FILLING INSTRUCTION PLATE</t>
  </si>
  <si>
    <t>HEADER SUPPORT</t>
  </si>
  <si>
    <t>SPL. INSPECTION COVER 1</t>
  </si>
  <si>
    <t>SPL. INSPECTION COVER 2</t>
  </si>
  <si>
    <t>LADDER</t>
  </si>
  <si>
    <t>HV CABLE BOX TANK SUPP</t>
  </si>
  <si>
    <t>LV CABLE BOX TANK SUPP</t>
  </si>
  <si>
    <t>M30</t>
  </si>
  <si>
    <t>PRV DRAIN PIPE</t>
  </si>
  <si>
    <t>M36</t>
  </si>
  <si>
    <t>PIPE SUPPORTS</t>
  </si>
  <si>
    <t>M42</t>
  </si>
  <si>
    <t>M48</t>
  </si>
  <si>
    <t>MARSHALLING BOX</t>
  </si>
  <si>
    <t>ADDITIONAL HARDWARE()</t>
  </si>
  <si>
    <t>COVER</t>
  </si>
  <si>
    <t>HV TURRET JOINTS</t>
  </si>
  <si>
    <t>LV TURRET JOINTS</t>
  </si>
  <si>
    <t>HVN TURRET JOINTS</t>
  </si>
  <si>
    <t>LVN TURRET JOINTS</t>
  </si>
  <si>
    <t>EXPLOSION VENT</t>
  </si>
  <si>
    <t>CT FIXING 1</t>
  </si>
  <si>
    <t>CT FIXING 2</t>
  </si>
  <si>
    <t>HV TRUNK/ CABLE BOX</t>
  </si>
  <si>
    <t>TRUNK TO DISCON / CABLE BOX</t>
  </si>
  <si>
    <t>DISCON TO CABLE BOX</t>
  </si>
  <si>
    <t>CABLE BOX GLAND PLATE</t>
  </si>
  <si>
    <t>CABLE BOX INSPECTION 1</t>
  </si>
  <si>
    <t>CABLE BOX INSPECTION 2</t>
  </si>
  <si>
    <t>DISCON INSPECTION</t>
  </si>
  <si>
    <t>TRUNK CT 1</t>
  </si>
  <si>
    <t>TRUNK CT 2</t>
  </si>
  <si>
    <t>CABLE BOX CT SUPPORT</t>
  </si>
  <si>
    <t>LV TRUNK/ CABLE BOX</t>
  </si>
  <si>
    <t>HVN TRUNK/ CABLE BOX</t>
  </si>
  <si>
    <t>CT SUPPORT</t>
  </si>
  <si>
    <t>LVN TRUNK/ CABLE BOX</t>
  </si>
  <si>
    <t xml:space="preserve">MAIN CONSERVATOR AND SUPPORT </t>
  </si>
  <si>
    <t xml:space="preserve">CONS FLANGE </t>
  </si>
  <si>
    <t>CONS TO SUPPORT</t>
  </si>
  <si>
    <t>SUPPORT TO TANK / A FRAME</t>
  </si>
  <si>
    <t>SUPPORT CROSS ANGLES</t>
  </si>
  <si>
    <t>SPL INSPECTION COVER</t>
  </si>
  <si>
    <t xml:space="preserve">OLTC CONSERVATOR AND SUPPORT </t>
  </si>
  <si>
    <t>SUPPORT TO TANK</t>
  </si>
  <si>
    <t>COOLING ASSEMBLY</t>
  </si>
  <si>
    <t>A FRAME CROSS ANGLES</t>
  </si>
  <si>
    <t>ADDITIONAL</t>
  </si>
  <si>
    <t>FOUNDATION BOLT 1</t>
  </si>
  <si>
    <t>FOUNDATION BOLT 2</t>
  </si>
  <si>
    <t>FOUNDATION BOLT 3</t>
  </si>
  <si>
    <t>FOUNDATION BOLT 4</t>
  </si>
  <si>
    <t>HDG-8.8</t>
  </si>
  <si>
    <t>M12X35</t>
  </si>
  <si>
    <t>M16X75</t>
  </si>
  <si>
    <t>M16X120</t>
  </si>
  <si>
    <t>M20X50</t>
  </si>
  <si>
    <t>M10-STUDX75</t>
  </si>
  <si>
    <t>M12-STUDX85</t>
  </si>
  <si>
    <t>M16-STUDX75</t>
  </si>
  <si>
    <t>M16-STUDX140</t>
  </si>
  <si>
    <t>M16-STUDX150</t>
  </si>
  <si>
    <t>M20-STUDX160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</si>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</sst>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0.0"/>
  </numFmts>
  <fonts count="29" x14ac:knownFonts="1">
    <font>
      <sz val="11"/>
      <color theme="1"/>
      <name val="Calibri"/>
      <family val="2"/>
      <scheme val="minor"/>
    </font>
    <font>
      <sz val="11"/>
      <color indexed="44"/>
      <name val="Calibri"/>
      <family val="2"/>
    </font>
    <font>
      <b/>
      <sz val="11"/>
      <color indexed="8"/>
      <name val="Calibri"/>
      <family val="2"/>
    </font>
    <font>
      <sz val="11"/>
      <name val="Arial"/>
      <family val="2"/>
    </font>
    <font>
      <b/>
      <sz val="7"/>
      <name val="Arial"/>
      <family val="2"/>
    </font>
    <font>
      <b/>
      <sz val="11"/>
      <color theme="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002060"/>
      <name val="Calibri"/>
      <family val="2"/>
    </font>
    <font>
      <sz val="11"/>
      <color rgb="FF00206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002060"/>
      <name val="Calibri"/>
      <family val="2"/>
    </font>
    <font>
      <sz val="9"/>
      <color rgb="FF7030A0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rgb="FFFF0000"/>
      <name val="Calibri"/>
      <family val="2"/>
    </font>
    <font>
      <b/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26" fillId="0" borderId="0"/>
  </cellStyleXfs>
  <cellXfs count="24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/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4" fillId="0" borderId="4" xfId="0" applyFont="1" applyBorder="1" applyAlignment="1">
      <alignment horizont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0" fillId="0" borderId="7" xfId="0" applyBorder="1"/>
    <xf numFmtId="0" fontId="0" fillId="0" borderId="8" xfId="0" applyBorder="1"/>
    <xf numFmtId="0" fontId="3" fillId="0" borderId="9" xfId="0" applyFont="1" applyBorder="1" applyAlignment="1">
      <alignment horizontal="center"/>
    </xf>
    <xf numFmtId="0" fontId="0" fillId="0" borderId="10" xfId="0" applyBorder="1"/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 vertical="center"/>
    </xf>
    <xf numFmtId="0" fontId="0" fillId="0" borderId="14" xfId="0" applyBorder="1"/>
    <xf numFmtId="0" fontId="6" fillId="3" borderId="0" xfId="0" applyFont="1" applyFill="1"/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9" xfId="0" applyBorder="1" applyAlignment="1">
      <alignment vertical="center"/>
    </xf>
    <xf numFmtId="0" fontId="5" fillId="0" borderId="1" xfId="0" applyFont="1" applyBorder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" xfId="0" applyBorder="1" applyAlignment="1">
      <alignment horizontal="left" vertical="center"/>
    </xf>
    <xf numFmtId="0" fontId="5" fillId="0" borderId="13" xfId="0" applyFont="1" applyBorder="1" applyAlignment="1">
      <alignment vertical="center"/>
    </xf>
    <xf numFmtId="0" fontId="5" fillId="0" borderId="30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0" xfId="0" applyFont="1"/>
    <xf numFmtId="0" fontId="11" fillId="0" borderId="4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0" xfId="0" applyFont="1"/>
    <xf numFmtId="0" fontId="11" fillId="0" borderId="12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9" xfId="0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0" fontId="1" fillId="0" borderId="0" xfId="0" applyFont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5" borderId="1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2" fillId="0" borderId="0" xfId="0" applyFont="1" applyAlignment="1">
      <alignment horizontal="center" vertical="center"/>
    </xf>
    <xf numFmtId="0" fontId="16" fillId="0" borderId="34" xfId="0" applyFont="1" applyBorder="1" applyAlignment="1">
      <alignment horizontal="center" vertical="center"/>
    </xf>
    <xf numFmtId="0" fontId="16" fillId="0" borderId="36" xfId="0" applyFont="1" applyBorder="1" applyAlignment="1">
      <alignment horizontal="center" vertical="center"/>
    </xf>
    <xf numFmtId="0" fontId="16" fillId="0" borderId="37" xfId="0" applyFont="1" applyBorder="1" applyAlignment="1">
      <alignment horizontal="center" vertical="center"/>
    </xf>
    <xf numFmtId="0" fontId="16" fillId="0" borderId="35" xfId="0" applyFont="1" applyBorder="1" applyAlignment="1">
      <alignment horizontal="center" vertical="center"/>
    </xf>
    <xf numFmtId="0" fontId="16" fillId="0" borderId="22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6" fillId="2" borderId="39" xfId="0" applyFont="1" applyFill="1" applyBorder="1" applyAlignment="1">
      <alignment horizontal="center" vertical="center"/>
    </xf>
    <xf numFmtId="0" fontId="16" fillId="2" borderId="40" xfId="0" applyFont="1" applyFill="1" applyBorder="1" applyAlignment="1">
      <alignment horizontal="left" vertical="center"/>
    </xf>
    <xf numFmtId="0" fontId="16" fillId="2" borderId="40" xfId="0" applyFont="1" applyFill="1" applyBorder="1" applyAlignment="1">
      <alignment horizontal="center" vertical="center"/>
    </xf>
    <xf numFmtId="0" fontId="16" fillId="2" borderId="36" xfId="0" applyFont="1" applyFill="1" applyBorder="1" applyAlignment="1">
      <alignment horizontal="center" vertical="center"/>
    </xf>
    <xf numFmtId="0" fontId="16" fillId="2" borderId="35" xfId="0" applyFont="1" applyFill="1" applyBorder="1" applyAlignment="1">
      <alignment horizontal="center" vertical="center"/>
    </xf>
    <xf numFmtId="0" fontId="16" fillId="2" borderId="34" xfId="0" applyFont="1" applyFill="1" applyBorder="1" applyAlignment="1">
      <alignment horizontal="left" vertical="center"/>
    </xf>
    <xf numFmtId="0" fontId="16" fillId="2" borderId="34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17" fillId="5" borderId="39" xfId="0" applyFont="1" applyFill="1" applyBorder="1" applyAlignment="1">
      <alignment horizontal="center" vertical="center"/>
    </xf>
    <xf numFmtId="0" fontId="17" fillId="5" borderId="40" xfId="0" applyFont="1" applyFill="1" applyBorder="1" applyAlignment="1">
      <alignment horizontal="center" vertical="center"/>
    </xf>
    <xf numFmtId="0" fontId="18" fillId="5" borderId="40" xfId="0" applyFont="1" applyFill="1" applyBorder="1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20" fillId="0" borderId="0" xfId="0" applyFont="1" applyAlignment="1">
      <alignment horizontal="center" vertical="center"/>
    </xf>
    <xf numFmtId="0" fontId="16" fillId="2" borderId="0" xfId="0" applyFont="1" applyFill="1" applyAlignment="1">
      <alignment horizontal="left" vertical="center"/>
    </xf>
    <xf numFmtId="0" fontId="20" fillId="0" borderId="0" xfId="0" applyFont="1" applyAlignment="1">
      <alignment horizontal="center" vertical="center" wrapText="1"/>
    </xf>
    <xf numFmtId="0" fontId="21" fillId="0" borderId="0" xfId="0" applyFont="1"/>
    <xf numFmtId="0" fontId="19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1" fontId="8" fillId="0" borderId="0" xfId="0" applyNumberFormat="1" applyFont="1" applyAlignment="1">
      <alignment horizontal="center" vertical="center"/>
    </xf>
    <xf numFmtId="0" fontId="0" fillId="0" borderId="1" xfId="0" applyBorder="1" applyAlignment="1">
      <alignment vertical="center"/>
    </xf>
    <xf numFmtId="0" fontId="5" fillId="0" borderId="1" xfId="0" applyFont="1" applyBorder="1" applyAlignment="1">
      <alignment vertical="center"/>
    </xf>
    <xf numFmtId="0" fontId="5" fillId="0" borderId="17" xfId="0" applyFont="1" applyBorder="1" applyAlignment="1">
      <alignment vertical="center"/>
    </xf>
    <xf numFmtId="0" fontId="0" fillId="0" borderId="2" xfId="0" applyBorder="1" applyAlignment="1">
      <alignment horizontal="left" vertical="center"/>
    </xf>
    <xf numFmtId="1" fontId="0" fillId="0" borderId="2" xfId="0" applyNumberFormat="1" applyBorder="1" applyAlignment="1">
      <alignment horizontal="center" vertical="center"/>
    </xf>
    <xf numFmtId="0" fontId="0" fillId="0" borderId="37" xfId="0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17" xfId="0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16" xfId="0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4" fillId="0" borderId="0" xfId="0" applyFont="1" applyAlignment="1">
      <alignment horizontal="center" vertical="center"/>
    </xf>
    <xf numFmtId="164" fontId="0" fillId="0" borderId="0" xfId="0" applyNumberFormat="1"/>
    <xf numFmtId="164" fontId="22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14" fillId="0" borderId="16" xfId="0" applyFont="1" applyBorder="1" applyAlignment="1">
      <alignment horizontal="center" vertical="center"/>
    </xf>
    <xf numFmtId="0" fontId="19" fillId="0" borderId="17" xfId="0" applyFont="1" applyBorder="1" applyAlignment="1">
      <alignment horizontal="left" vertical="center"/>
    </xf>
    <xf numFmtId="0" fontId="8" fillId="0" borderId="17" xfId="0" applyFont="1" applyBorder="1" applyAlignment="1">
      <alignment horizontal="left" vertical="center"/>
    </xf>
    <xf numFmtId="0" fontId="0" fillId="0" borderId="17" xfId="0" applyBorder="1"/>
    <xf numFmtId="0" fontId="0" fillId="0" borderId="18" xfId="0" applyBorder="1"/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8" xfId="0" applyBorder="1" applyAlignment="1">
      <alignment horizontal="left" vertical="center"/>
    </xf>
    <xf numFmtId="0" fontId="0" fillId="0" borderId="36" xfId="0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41" xfId="0" applyBorder="1" applyAlignment="1">
      <alignment horizontal="left" vertical="center"/>
    </xf>
    <xf numFmtId="0" fontId="5" fillId="0" borderId="16" xfId="0" applyFont="1" applyBorder="1" applyAlignment="1">
      <alignment vertical="center"/>
    </xf>
    <xf numFmtId="0" fontId="5" fillId="0" borderId="18" xfId="0" applyFont="1" applyBorder="1" applyAlignment="1">
      <alignment vertical="center"/>
    </xf>
    <xf numFmtId="0" fontId="5" fillId="0" borderId="39" xfId="0" applyFont="1" applyBorder="1" applyAlignment="1">
      <alignment vertical="center"/>
    </xf>
    <xf numFmtId="0" fontId="5" fillId="0" borderId="40" xfId="0" applyFont="1" applyBorder="1" applyAlignment="1">
      <alignment vertical="center"/>
    </xf>
    <xf numFmtId="0" fontId="5" fillId="0" borderId="23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18" fillId="6" borderId="16" xfId="0" applyFont="1" applyFill="1" applyBorder="1" applyAlignment="1">
      <alignment horizontal="left" vertical="center"/>
    </xf>
    <xf numFmtId="0" fontId="18" fillId="6" borderId="17" xfId="0" applyFont="1" applyFill="1" applyBorder="1" applyAlignment="1">
      <alignment horizontal="center" vertical="center"/>
    </xf>
    <xf numFmtId="0" fontId="17" fillId="6" borderId="17" xfId="0" applyFont="1" applyFill="1" applyBorder="1" applyAlignment="1">
      <alignment horizontal="center" vertical="center"/>
    </xf>
    <xf numFmtId="0" fontId="18" fillId="6" borderId="18" xfId="0" applyFont="1" applyFill="1" applyBorder="1" applyAlignment="1">
      <alignment horizontal="center" vertical="center"/>
    </xf>
    <xf numFmtId="0" fontId="17" fillId="6" borderId="17" xfId="0" applyFont="1" applyFill="1" applyBorder="1" applyAlignment="1">
      <alignment horizontal="center"/>
    </xf>
    <xf numFmtId="0" fontId="17" fillId="6" borderId="17" xfId="0" applyFont="1" applyFill="1" applyBorder="1"/>
    <xf numFmtId="0" fontId="17" fillId="6" borderId="18" xfId="0" applyFont="1" applyFill="1" applyBorder="1"/>
    <xf numFmtId="0" fontId="18" fillId="6" borderId="16" xfId="0" applyFont="1" applyFill="1" applyBorder="1"/>
    <xf numFmtId="0" fontId="25" fillId="2" borderId="18" xfId="0" applyFont="1" applyFill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18" fillId="6" borderId="39" xfId="0" applyFont="1" applyFill="1" applyBorder="1" applyAlignment="1">
      <alignment horizontal="left" vertical="center"/>
    </xf>
    <xf numFmtId="0" fontId="18" fillId="6" borderId="40" xfId="0" applyFont="1" applyFill="1" applyBorder="1" applyAlignment="1">
      <alignment horizontal="center" vertical="center"/>
    </xf>
    <xf numFmtId="0" fontId="8" fillId="0" borderId="0" xfId="0" applyFont="1" applyAlignment="1">
      <alignment horizontal="left" vertical="top"/>
    </xf>
    <xf numFmtId="0" fontId="8" fillId="0" borderId="0" xfId="0" applyFont="1" applyAlignment="1">
      <alignment wrapText="1"/>
    </xf>
    <xf numFmtId="0" fontId="17" fillId="6" borderId="0" xfId="0" applyFont="1" applyFill="1"/>
    <xf numFmtId="0" fontId="25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4" fillId="7" borderId="1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8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left" vertical="center"/>
    </xf>
    <xf numFmtId="0" fontId="7" fillId="3" borderId="17" xfId="0" applyFont="1" applyFill="1" applyBorder="1" applyAlignment="1">
      <alignment horizontal="left" vertical="center"/>
    </xf>
    <xf numFmtId="0" fontId="7" fillId="3" borderId="18" xfId="0" applyFont="1" applyFill="1" applyBorder="1" applyAlignment="1">
      <alignment horizontal="left" vertical="center"/>
    </xf>
    <xf numFmtId="0" fontId="8" fillId="6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left"/>
    </xf>
    <xf numFmtId="0" fontId="1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5" fillId="0" borderId="34" xfId="0" applyFont="1" applyBorder="1" applyAlignment="1">
      <alignment vertical="center"/>
    </xf>
    <xf numFmtId="0" fontId="5" fillId="2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0" fillId="2" borderId="0" xfId="0" applyFill="1" applyAlignment="1">
      <alignment horizontal="center"/>
    </xf>
    <xf numFmtId="0" fontId="0" fillId="0" borderId="1" xfId="1" applyNumberFormat="1" applyFont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14" fillId="8" borderId="18" xfId="0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8" fillId="0" borderId="1" xfId="0" applyFont="1" applyBorder="1" applyAlignment="1">
      <alignment horizontal="center" vertical="center" wrapText="1"/>
    </xf>
    <xf numFmtId="0" fontId="5" fillId="0" borderId="41" xfId="0" applyFont="1" applyBorder="1" applyAlignment="1">
      <alignment horizontal="center" vertical="center"/>
    </xf>
    <xf numFmtId="0" fontId="0" fillId="0" borderId="37" xfId="0" applyBorder="1"/>
    <xf numFmtId="0" fontId="0" fillId="0" borderId="1" xfId="0" applyBorder="1" applyAlignment="1">
      <alignment horizontal="center" vertical="center"/>
    </xf>
    <xf numFmtId="0" fontId="0" fillId="0" borderId="18" xfId="0" applyBorder="1"/>
    <xf numFmtId="0" fontId="0" fillId="0" borderId="17" xfId="0" applyBorder="1"/>
    <xf numFmtId="0" fontId="0" fillId="0" borderId="2" xfId="0" applyBorder="1" applyAlignment="1">
      <alignment horizontal="center" vertical="center"/>
    </xf>
    <xf numFmtId="0" fontId="0" fillId="0" borderId="34" xfId="0" applyBorder="1"/>
    <xf numFmtId="0" fontId="0" fillId="0" borderId="22" xfId="0" applyBorder="1"/>
    <xf numFmtId="0" fontId="0" fillId="0" borderId="23" xfId="0" applyBorder="1"/>
    <xf numFmtId="0" fontId="0" fillId="0" borderId="36" xfId="0" applyBorder="1"/>
    <xf numFmtId="0" fontId="0" fillId="0" borderId="35" xfId="0" applyBorder="1"/>
    <xf numFmtId="49" fontId="23" fillId="0" borderId="1" xfId="0" applyNumberFormat="1" applyFont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14" fillId="8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14" fillId="8" borderId="16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5" fillId="0" borderId="16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0" borderId="0" xfId="0"/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17" fillId="7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14" fillId="6" borderId="0" xfId="0" applyFont="1" applyFill="1" applyAlignment="1">
      <alignment horizontal="center"/>
    </xf>
    <xf numFmtId="0" fontId="8" fillId="0" borderId="0" xfId="0" applyFont="1" applyAlignment="1">
      <alignment horizontal="left" vertical="center"/>
    </xf>
    <xf numFmtId="0" fontId="8" fillId="0" borderId="40" xfId="0" applyFont="1" applyBorder="1" applyAlignment="1">
      <alignment horizontal="left" vertical="center"/>
    </xf>
    <xf numFmtId="0" fontId="8" fillId="0" borderId="0" xfId="0" applyFont="1" applyAlignment="1">
      <alignment horizontal="left" vertical="center" wrapText="1"/>
    </xf>
    <xf numFmtId="0" fontId="8" fillId="0" borderId="0" xfId="0" applyFont="1"/>
    <xf numFmtId="0" fontId="0" fillId="0" borderId="2" xfId="0" applyBorder="1"/>
    <xf numFmtId="0" fontId="8" fillId="0" borderId="1" xfId="0" applyFont="1" applyBorder="1" applyAlignment="1">
      <alignment horizontal="center" vertical="center"/>
    </xf>
    <xf numFmtId="0" fontId="20" fillId="0" borderId="34" xfId="0" applyFont="1" applyBorder="1" applyAlignment="1">
      <alignment horizontal="center" vertical="center" wrapText="1"/>
    </xf>
    <xf numFmtId="0" fontId="8" fillId="0" borderId="40" xfId="0" applyFont="1" applyBorder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24" fillId="2" borderId="1" xfId="0" applyFont="1" applyFill="1" applyBorder="1" applyAlignment="1">
      <alignment horizontal="center" vertical="center"/>
    </xf>
    <xf numFmtId="0" fontId="0" fillId="0" borderId="40" xfId="0" applyBorder="1"/>
    <xf numFmtId="0" fontId="0" fillId="0" borderId="1" xfId="0" applyBorder="1" applyAlignment="1">
      <alignment vertical="center"/>
    </xf>
    <xf numFmtId="0" fontId="7" fillId="3" borderId="1" xfId="0" applyFont="1" applyFill="1" applyBorder="1" applyAlignment="1">
      <alignment horizontal="left" vertical="center"/>
    </xf>
    <xf numFmtId="0" fontId="7" fillId="3" borderId="41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33" xfId="0" applyFont="1" applyBorder="1" applyAlignment="1">
      <alignment horizontal="center"/>
    </xf>
    <xf numFmtId="0" fontId="12" fillId="0" borderId="42" xfId="0" applyFont="1" applyBorder="1" applyAlignment="1">
      <alignment horizontal="center"/>
    </xf>
    <xf numFmtId="0" fontId="0" fillId="0" borderId="27" xfId="0" applyBorder="1"/>
    <xf numFmtId="0" fontId="0" fillId="0" borderId="28" xfId="0" applyBorder="1"/>
    <xf numFmtId="0" fontId="11" fillId="0" borderId="43" xfId="0" applyFont="1" applyBorder="1" applyAlignment="1">
      <alignment horizontal="center" vertical="center"/>
    </xf>
    <xf numFmtId="0" fontId="0" fillId="0" borderId="24" xfId="0" applyBorder="1"/>
    <xf numFmtId="0" fontId="0" fillId="0" borderId="9" xfId="0" applyBorder="1" applyAlignment="1">
      <alignment horizontal="center"/>
    </xf>
    <xf numFmtId="0" fontId="11" fillId="0" borderId="19" xfId="0" applyFont="1" applyBorder="1" applyAlignment="1">
      <alignment horizontal="center" vertical="center"/>
    </xf>
    <xf numFmtId="0" fontId="0" fillId="0" borderId="31" xfId="0" applyBorder="1"/>
    <xf numFmtId="0" fontId="0" fillId="0" borderId="32" xfId="0" applyBorder="1"/>
    <xf numFmtId="0" fontId="5" fillId="0" borderId="42" xfId="0" applyFont="1" applyBorder="1" applyAlignment="1">
      <alignment horizontal="center" vertical="center"/>
    </xf>
    <xf numFmtId="0" fontId="0" fillId="0" borderId="29" xfId="0" applyBorder="1" applyAlignment="1">
      <alignment horizontal="center"/>
    </xf>
    <xf numFmtId="0" fontId="0" fillId="0" borderId="14" xfId="0" applyBorder="1"/>
    <xf numFmtId="0" fontId="0" fillId="0" borderId="10" xfId="0" applyBorder="1" applyAlignment="1">
      <alignment horizontal="left"/>
    </xf>
    <xf numFmtId="0" fontId="0" fillId="0" borderId="10" xfId="0" applyBorder="1"/>
    <xf numFmtId="0" fontId="0" fillId="0" borderId="21" xfId="0" applyBorder="1" applyAlignment="1">
      <alignment horizontal="left" vertical="center"/>
    </xf>
    <xf numFmtId="0" fontId="10" fillId="0" borderId="19" xfId="0" applyFont="1" applyBorder="1" applyAlignment="1">
      <alignment horizontal="center" vertical="center" wrapText="1"/>
    </xf>
    <xf numFmtId="0" fontId="0" fillId="0" borderId="8" xfId="0" applyBorder="1"/>
    <xf numFmtId="0" fontId="0" fillId="0" borderId="38" xfId="0" applyBorder="1"/>
    <xf numFmtId="0" fontId="5" fillId="0" borderId="43" xfId="0" applyFont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44" xfId="0" applyBorder="1"/>
    <xf numFmtId="0" fontId="11" fillId="0" borderId="10" xfId="0" applyFont="1" applyBorder="1" applyAlignment="1">
      <alignment horizontal="center"/>
    </xf>
    <xf numFmtId="0" fontId="11" fillId="0" borderId="0" xfId="0" applyFont="1"/>
    <xf numFmtId="0" fontId="0" fillId="0" borderId="5" xfId="0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0" fillId="0" borderId="25" xfId="0" applyBorder="1"/>
    <xf numFmtId="0" fontId="0" fillId="0" borderId="26" xfId="0" applyBorder="1"/>
    <xf numFmtId="0" fontId="5" fillId="0" borderId="3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/>
    </xf>
    <xf numFmtId="0" fontId="5" fillId="0" borderId="45" xfId="0" applyFont="1" applyBorder="1" applyAlignment="1">
      <alignment horizontal="left" vertical="center"/>
    </xf>
    <xf numFmtId="0" fontId="0" fillId="0" borderId="15" xfId="0" applyBorder="1" applyAlignment="1">
      <alignment horizontal="left"/>
    </xf>
    <xf numFmtId="0" fontId="0" fillId="0" borderId="15" xfId="0" applyBorder="1"/>
    <xf numFmtId="0" fontId="5" fillId="4" borderId="0" xfId="0" applyFont="1" applyFill="1" applyAlignment="1">
      <alignment horizontal="left" vertical="center"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102534</xdr:colOff>
      <xdr:row>223</xdr:row>
      <xdr:rowOff>53229</xdr:rowOff>
    </xdr:from>
    <xdr:to>
      <xdr:col>5</xdr:col>
      <xdr:colOff>971550</xdr:colOff>
      <xdr:row>223</xdr:row>
      <xdr:rowOff>590550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65484" y="1882029"/>
          <a:ext cx="869016" cy="53732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</xdr:col>
      <xdr:colOff>105334</xdr:colOff>
      <xdr:row>226</xdr:row>
      <xdr:rowOff>95249</xdr:rowOff>
    </xdr:from>
    <xdr:to>
      <xdr:col>5</xdr:col>
      <xdr:colOff>971549</xdr:colOff>
      <xdr:row>226</xdr:row>
      <xdr:rowOff>609600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68284" y="3181349"/>
          <a:ext cx="866215" cy="51435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</xdr:col>
      <xdr:colOff>112059</xdr:colOff>
      <xdr:row>224</xdr:row>
      <xdr:rowOff>37540</xdr:rowOff>
    </xdr:from>
    <xdr:to>
      <xdr:col>5</xdr:col>
      <xdr:colOff>962025</xdr:colOff>
      <xdr:row>224</xdr:row>
      <xdr:rowOff>600076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75009" y="2494990"/>
          <a:ext cx="849966" cy="56253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</xdr:col>
      <xdr:colOff>57151</xdr:colOff>
      <xdr:row>225</xdr:row>
      <xdr:rowOff>47625</xdr:rowOff>
    </xdr:from>
    <xdr:to>
      <xdr:col>5</xdr:col>
      <xdr:colOff>981075</xdr:colOff>
      <xdr:row>225</xdr:row>
      <xdr:rowOff>590550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420101" y="50977800"/>
          <a:ext cx="923924" cy="542925"/>
        </a:xfrm>
        <a:prstGeom prst="rect">
          <a:avLst/>
        </a:prstGeom>
        <a:ln>
          <a:prstDash val="solid"/>
        </a:ln>
      </xdr:spPr>
    </xdr:pic>
    <xdr:clientData/>
  </xdr:twoCellAnchor>
  <xdr:oneCellAnchor>
    <xdr:from>
      <xdr:col>5</xdr:col>
      <xdr:colOff>133912</xdr:colOff>
      <xdr:row>221</xdr:row>
      <xdr:rowOff>24801</xdr:rowOff>
    </xdr:from>
    <xdr:ext cx="806822" cy="575274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96862" y="596301"/>
          <a:ext cx="806822" cy="575274"/>
        </a:xfrm>
        <a:prstGeom prst="rect">
          <a:avLst/>
        </a:prstGeom>
        <a:ln>
          <a:prstDash val="solid"/>
        </a:ln>
      </xdr:spPr>
    </xdr:pic>
    <xdr:clientData/>
  </xdr:oneCellAnchor>
  <xdr:oneCellAnchor>
    <xdr:from>
      <xdr:col>5</xdr:col>
      <xdr:colOff>104776</xdr:colOff>
      <xdr:row>222</xdr:row>
      <xdr:rowOff>36978</xdr:rowOff>
    </xdr:from>
    <xdr:ext cx="863974" cy="563098"/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467726" y="1237128"/>
          <a:ext cx="863974" cy="563098"/>
        </a:xfrm>
        <a:prstGeom prst="rect">
          <a:avLst/>
        </a:prstGeom>
        <a:ln>
          <a:prstDash val="solid"/>
        </a:ln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47625</xdr:colOff>
      <xdr:row>1</xdr:row>
      <xdr:rowOff>47626</xdr:rowOff>
    </xdr:from>
    <xdr:to>
      <xdr:col>4</xdr:col>
      <xdr:colOff>1981200</xdr:colOff>
      <xdr:row>3</xdr:row>
      <xdr:rowOff>161925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0" y="238126"/>
          <a:ext cx="3981450" cy="552449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66675</xdr:colOff>
      <xdr:row>1</xdr:row>
      <xdr:rowOff>38100</xdr:rowOff>
    </xdr:from>
    <xdr:to>
      <xdr:col>4</xdr:col>
      <xdr:colOff>2000250</xdr:colOff>
      <xdr:row>3</xdr:row>
      <xdr:rowOff>152399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7700" y="228600"/>
          <a:ext cx="3981450" cy="552449"/>
        </a:xfrm>
        <a:prstGeom prst="rect">
          <a:avLst/>
        </a:prstGeom>
        <a:ln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13</xdr:col>
          <xdr:colOff>152400</xdr:colOff>
          <xdr:row>11</xdr:row>
          <xdr:rowOff>0</xdr:rowOff>
        </xdr:to>
        <xdr:sp macro="" textlink="">
          <xdr:nvSpPr>
            <xdr:cNvPr id="1025" name="btnRefreshFinalShe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100854</xdr:colOff>
      <xdr:row>4</xdr:row>
      <xdr:rowOff>78441</xdr:rowOff>
    </xdr:from>
    <xdr:to>
      <xdr:col>4</xdr:col>
      <xdr:colOff>78442</xdr:colOff>
      <xdr:row>6</xdr:row>
      <xdr:rowOff>118114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14619" y="862853"/>
          <a:ext cx="1837764" cy="420673"/>
        </a:xfrm>
        <a:prstGeom prst="rect">
          <a:avLst/>
        </a:prstGeom>
        <a:ln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171450</xdr:rowOff>
        </xdr:from>
        <xdr:to>
          <xdr:col>11</xdr:col>
          <xdr:colOff>104775</xdr:colOff>
          <xdr:row>3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PRINT OUTPUT PAGE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U227"/>
  <sheetViews>
    <sheetView zoomScaleNormal="100" workbookViewId="0">
      <pane ySplit="1" topLeftCell="A213" activePane="bottomLeft" state="frozen"/>
      <selection pane="bottomLeft" activeCell="L224" sqref="L224"/>
    </sheetView>
  </sheetViews>
  <sheetFormatPr defaultRowHeight="17.45" customHeight="1" x14ac:dyDescent="0.25"/>
  <cols>
    <col min="1" max="1" width="12.42578125" style="53" customWidth="1"/>
    <col min="2" max="2" width="43.85546875" style="56" bestFit="1" customWidth="1"/>
    <col min="3" max="3" width="22.28515625" style="53" bestFit="1" customWidth="1"/>
    <col min="4" max="4" width="9.42578125" style="53" customWidth="1"/>
    <col min="5" max="5" width="37.42578125" style="53" bestFit="1" customWidth="1"/>
    <col min="6" max="6" width="15.7109375" style="53" customWidth="1"/>
    <col min="7" max="11" width="15.7109375" style="3" customWidth="1"/>
    <col min="12" max="12" width="14.42578125" style="3" bestFit="1" customWidth="1"/>
    <col min="13" max="13" width="24" style="3" bestFit="1" customWidth="1"/>
    <col min="14" max="18" width="9.140625" style="3" customWidth="1"/>
  </cols>
  <sheetData>
    <row r="1" spans="1:21" ht="17.45" customHeight="1" x14ac:dyDescent="0.25">
      <c r="A1" s="52" t="s">
        <v>64</v>
      </c>
      <c r="B1" s="52" t="s">
        <v>65</v>
      </c>
      <c r="C1" s="52" t="s">
        <v>66</v>
      </c>
      <c r="D1" s="52" t="s">
        <v>67</v>
      </c>
      <c r="E1" s="52" t="s">
        <v>68</v>
      </c>
      <c r="F1" s="52" t="s">
        <v>69</v>
      </c>
      <c r="G1" s="57" t="s">
        <v>70</v>
      </c>
      <c r="H1" s="57" t="s">
        <v>71</v>
      </c>
      <c r="I1" s="57" t="s">
        <v>72</v>
      </c>
      <c r="J1" s="57" t="s">
        <v>73</v>
      </c>
      <c r="K1" s="57" t="s">
        <v>74</v>
      </c>
      <c r="M1" s="57" t="s">
        <v>75</v>
      </c>
      <c r="N1" s="57" t="s">
        <v>17</v>
      </c>
      <c r="O1" s="57" t="s">
        <v>18</v>
      </c>
      <c r="P1" s="57" t="s">
        <v>19</v>
      </c>
      <c r="Q1" s="57" t="s">
        <v>20</v>
      </c>
      <c r="R1" s="57" t="s">
        <v>21</v>
      </c>
      <c r="S1" s="57" t="s">
        <v>22</v>
      </c>
      <c r="T1" s="57" t="s">
        <v>23</v>
      </c>
      <c r="U1" s="57" t="s">
        <v>24</v>
      </c>
    </row>
    <row r="2" spans="1:21" ht="17.45" customHeight="1" x14ac:dyDescent="0.25">
      <c r="A2" s="54" t="s">
        <v>76</v>
      </c>
      <c r="B2" s="55" t="s">
        <v>77</v>
      </c>
      <c r="C2" s="53" t="s">
        <v>56</v>
      </c>
      <c r="D2" s="53" t="s">
        <v>56</v>
      </c>
      <c r="E2" s="53" t="s">
        <v>56</v>
      </c>
      <c r="F2" s="53" t="s">
        <v>56</v>
      </c>
      <c r="M2" s="7" t="s">
        <v>78</v>
      </c>
      <c r="N2" s="7">
        <v>4.7</v>
      </c>
      <c r="O2" s="7">
        <v>5.2</v>
      </c>
      <c r="P2" s="7">
        <v>6.8</v>
      </c>
      <c r="Q2" s="7">
        <v>8.4</v>
      </c>
      <c r="R2" s="7">
        <v>10.8</v>
      </c>
      <c r="S2" s="7">
        <v>14.8</v>
      </c>
      <c r="T2" s="7">
        <v>18</v>
      </c>
      <c r="U2" s="7">
        <v>21.5</v>
      </c>
    </row>
    <row r="3" spans="1:21" ht="17.45" customHeight="1" x14ac:dyDescent="0.25">
      <c r="A3" s="54" t="s">
        <v>79</v>
      </c>
      <c r="B3" s="55" t="s">
        <v>80</v>
      </c>
      <c r="C3" s="53" t="s">
        <v>56</v>
      </c>
      <c r="D3" s="53" t="s">
        <v>56</v>
      </c>
      <c r="E3" s="53" t="s">
        <v>56</v>
      </c>
      <c r="F3" s="53" t="s">
        <v>56</v>
      </c>
      <c r="M3" s="65" t="s">
        <v>81</v>
      </c>
      <c r="N3" s="7">
        <v>5</v>
      </c>
      <c r="O3" s="7">
        <v>6</v>
      </c>
      <c r="P3" s="7">
        <v>7</v>
      </c>
      <c r="Q3" s="7">
        <v>9</v>
      </c>
      <c r="R3" s="7">
        <v>11</v>
      </c>
      <c r="S3" s="7">
        <v>15</v>
      </c>
      <c r="T3" s="7">
        <v>18</v>
      </c>
      <c r="U3" s="7">
        <v>22</v>
      </c>
    </row>
    <row r="4" spans="1:21" ht="17.45" customHeight="1" x14ac:dyDescent="0.25">
      <c r="A4" s="54" t="s">
        <v>82</v>
      </c>
      <c r="B4" s="55" t="s">
        <v>83</v>
      </c>
      <c r="C4" s="54" t="str">
        <f>CONCATENATE("M12x45","-",N5)</f>
        <v>M12x45-HDG-8.8</v>
      </c>
      <c r="D4" s="54">
        <v>4</v>
      </c>
      <c r="E4" s="54" t="s">
        <v>84</v>
      </c>
      <c r="F4" s="53" t="s">
        <v>56</v>
      </c>
      <c r="N4" s="9"/>
      <c r="O4" s="9"/>
      <c r="P4" s="9"/>
      <c r="R4" s="9"/>
    </row>
    <row r="5" spans="1:21" ht="17.45" customHeight="1" x14ac:dyDescent="0.25">
      <c r="A5" s="53" t="s">
        <v>85</v>
      </c>
      <c r="B5" s="56" t="s">
        <v>86</v>
      </c>
      <c r="C5" s="54" t="str">
        <f>CONCATENATE("M16x50","-",N6)</f>
        <v>M16x50-HDG-8.8</v>
      </c>
      <c r="D5" s="54">
        <v>6</v>
      </c>
      <c r="E5" s="53" t="s">
        <v>56</v>
      </c>
      <c r="F5" s="53" t="s">
        <v>87</v>
      </c>
      <c r="M5" s="34" t="s">
        <v>88</v>
      </c>
      <c r="N5" s="7" t="str">
        <f>'TANK HARDWARE'!C4</f>
        <v>HDG-8.8</v>
      </c>
      <c r="S5" s="3"/>
      <c r="U5" s="3"/>
    </row>
    <row r="6" spans="1:21" ht="17.45" customHeight="1" x14ac:dyDescent="0.25">
      <c r="A6" s="53" t="s">
        <v>89</v>
      </c>
      <c r="B6" s="56" t="s">
        <v>90</v>
      </c>
      <c r="C6" s="54" t="str">
        <f>CONCATENATE("M16x50","-",N6)</f>
        <v>M16x50-HDG-8.8</v>
      </c>
      <c r="D6" s="54">
        <v>6</v>
      </c>
      <c r="E6" s="53" t="s">
        <v>56</v>
      </c>
      <c r="F6" s="53" t="s">
        <v>56</v>
      </c>
      <c r="M6" s="34" t="s">
        <v>91</v>
      </c>
      <c r="N6" s="7" t="str">
        <f>'TANK HARDWARE'!C5</f>
        <v>HDG-8.8</v>
      </c>
      <c r="S6" s="3"/>
      <c r="U6" s="3"/>
    </row>
    <row r="7" spans="1:21" ht="17.45" customHeight="1" x14ac:dyDescent="0.25">
      <c r="A7" s="54" t="s">
        <v>92</v>
      </c>
      <c r="B7" s="55" t="s">
        <v>93</v>
      </c>
      <c r="C7" s="53" t="s">
        <v>56</v>
      </c>
      <c r="D7" s="53" t="s">
        <v>56</v>
      </c>
      <c r="E7" s="53" t="s">
        <v>94</v>
      </c>
      <c r="F7" s="53" t="s">
        <v>56</v>
      </c>
      <c r="S7" s="3"/>
      <c r="U7" s="3"/>
    </row>
    <row r="8" spans="1:21" ht="17.45" customHeight="1" x14ac:dyDescent="0.25">
      <c r="A8" s="54" t="s">
        <v>95</v>
      </c>
      <c r="B8" s="55" t="s">
        <v>96</v>
      </c>
      <c r="C8" s="53" t="s">
        <v>56</v>
      </c>
      <c r="D8" s="53" t="s">
        <v>56</v>
      </c>
      <c r="E8" s="54" t="s">
        <v>97</v>
      </c>
      <c r="F8" s="53" t="s">
        <v>56</v>
      </c>
      <c r="M8" s="57" t="s">
        <v>98</v>
      </c>
      <c r="N8" s="57" t="s">
        <v>17</v>
      </c>
      <c r="O8" s="57" t="s">
        <v>18</v>
      </c>
      <c r="P8" s="57" t="s">
        <v>19</v>
      </c>
      <c r="Q8" s="57" t="s">
        <v>20</v>
      </c>
      <c r="R8" s="57" t="s">
        <v>21</v>
      </c>
      <c r="S8" s="57" t="s">
        <v>22</v>
      </c>
      <c r="T8" s="57" t="s">
        <v>23</v>
      </c>
      <c r="U8" s="57" t="s">
        <v>24</v>
      </c>
    </row>
    <row r="9" spans="1:21" ht="17.45" customHeight="1" x14ac:dyDescent="0.25">
      <c r="A9" s="53" t="s">
        <v>99</v>
      </c>
      <c r="B9" s="56" t="s">
        <v>100</v>
      </c>
      <c r="C9" s="54" t="s">
        <v>101</v>
      </c>
      <c r="D9" s="53">
        <v>2</v>
      </c>
      <c r="E9" s="53" t="s">
        <v>56</v>
      </c>
      <c r="F9" s="53" t="s">
        <v>56</v>
      </c>
      <c r="M9" s="7" t="s">
        <v>102</v>
      </c>
      <c r="N9" s="7">
        <v>1</v>
      </c>
      <c r="O9" s="7">
        <v>1.6</v>
      </c>
      <c r="P9" s="7">
        <v>1.6</v>
      </c>
      <c r="Q9" s="7">
        <v>2</v>
      </c>
      <c r="R9" s="7">
        <v>2.5</v>
      </c>
      <c r="S9" s="7">
        <v>3</v>
      </c>
      <c r="T9" s="7">
        <v>3</v>
      </c>
      <c r="U9" s="7">
        <v>4</v>
      </c>
    </row>
    <row r="10" spans="1:21" ht="17.45" customHeight="1" x14ac:dyDescent="0.25">
      <c r="A10" s="54" t="s">
        <v>103</v>
      </c>
      <c r="B10" s="55" t="s">
        <v>104</v>
      </c>
      <c r="E10" s="54" t="s">
        <v>105</v>
      </c>
      <c r="F10" s="53" t="s">
        <v>56</v>
      </c>
      <c r="M10" s="65" t="s">
        <v>81</v>
      </c>
      <c r="N10" s="7">
        <v>1</v>
      </c>
      <c r="O10" s="7">
        <v>2</v>
      </c>
      <c r="P10" s="7">
        <v>2</v>
      </c>
      <c r="Q10" s="7">
        <v>2</v>
      </c>
      <c r="R10" s="7">
        <v>3</v>
      </c>
      <c r="S10" s="7">
        <v>3</v>
      </c>
      <c r="T10" s="7">
        <v>3</v>
      </c>
      <c r="U10" s="7">
        <v>4</v>
      </c>
    </row>
    <row r="11" spans="1:21" ht="17.45" customHeight="1" x14ac:dyDescent="0.25">
      <c r="A11" s="53" t="s">
        <v>106</v>
      </c>
      <c r="B11" s="56" t="s">
        <v>107</v>
      </c>
      <c r="C11" s="53" t="s">
        <v>108</v>
      </c>
      <c r="D11" s="53">
        <v>16</v>
      </c>
      <c r="E11" s="53" t="s">
        <v>56</v>
      </c>
      <c r="F11" s="53" t="s">
        <v>56</v>
      </c>
      <c r="S11" s="3"/>
    </row>
    <row r="12" spans="1:21" ht="17.45" customHeight="1" x14ac:dyDescent="0.25">
      <c r="A12" s="53" t="s">
        <v>109</v>
      </c>
      <c r="B12" s="56" t="s">
        <v>110</v>
      </c>
      <c r="F12" s="53" t="s">
        <v>56</v>
      </c>
      <c r="S12" s="3"/>
    </row>
    <row r="13" spans="1:21" ht="17.45" customHeight="1" x14ac:dyDescent="0.25">
      <c r="A13" s="53" t="s">
        <v>111</v>
      </c>
      <c r="B13" s="55" t="s">
        <v>112</v>
      </c>
      <c r="C13" s="54" t="str">
        <f>CONCATENATE("S-M10x75","-","HDG")</f>
        <v>S-M10x75-HDG</v>
      </c>
      <c r="D13" s="54">
        <v>4</v>
      </c>
      <c r="E13" s="53" t="s">
        <v>113</v>
      </c>
      <c r="F13" s="53" t="s">
        <v>56</v>
      </c>
      <c r="S13" s="3"/>
    </row>
    <row r="14" spans="1:21" ht="17.45" customHeight="1" x14ac:dyDescent="0.25">
      <c r="A14" s="53" t="s">
        <v>114</v>
      </c>
      <c r="B14" s="55" t="s">
        <v>115</v>
      </c>
      <c r="C14" s="54" t="str">
        <f>CONCATENATE("S-M10x75","-","HDG")</f>
        <v>S-M10x75-HDG</v>
      </c>
      <c r="D14" s="54">
        <v>6</v>
      </c>
      <c r="E14" s="53" t="s">
        <v>113</v>
      </c>
      <c r="F14" s="53" t="s">
        <v>56</v>
      </c>
      <c r="S14" s="3"/>
      <c r="U14" s="3"/>
    </row>
    <row r="15" spans="1:21" ht="17.45" customHeight="1" x14ac:dyDescent="0.25">
      <c r="A15" s="53" t="s">
        <v>116</v>
      </c>
      <c r="B15" s="55" t="s">
        <v>117</v>
      </c>
      <c r="C15" s="54" t="str">
        <f>CONCATENATE("S-M12x85","-","HDG")</f>
        <v>S-M12x85-HDG</v>
      </c>
      <c r="D15" s="54">
        <v>6</v>
      </c>
      <c r="E15" s="53" t="s">
        <v>113</v>
      </c>
      <c r="F15" s="53" t="s">
        <v>56</v>
      </c>
      <c r="S15" s="3"/>
      <c r="U15" s="3"/>
    </row>
    <row r="16" spans="1:21" ht="17.45" customHeight="1" x14ac:dyDescent="0.25">
      <c r="A16" s="53" t="s">
        <v>118</v>
      </c>
      <c r="B16" s="55" t="s">
        <v>119</v>
      </c>
      <c r="C16" s="54" t="str">
        <f>CONCATENATE("S-M12x85","-","HDG")</f>
        <v>S-M12x85-HDG</v>
      </c>
      <c r="D16" s="54">
        <v>6</v>
      </c>
      <c r="E16" s="53" t="s">
        <v>113</v>
      </c>
      <c r="F16" s="53" t="s">
        <v>56</v>
      </c>
      <c r="S16" s="3"/>
      <c r="U16" s="3"/>
    </row>
    <row r="17" spans="1:21" ht="17.45" customHeight="1" x14ac:dyDescent="0.25">
      <c r="A17" s="53" t="s">
        <v>120</v>
      </c>
      <c r="B17" s="55" t="s">
        <v>121</v>
      </c>
      <c r="C17" s="54" t="str">
        <f>CONCATENATE("S-M12x85","-","HDG")</f>
        <v>S-M12x85-HDG</v>
      </c>
      <c r="D17" s="54">
        <v>6</v>
      </c>
      <c r="E17" s="53" t="s">
        <v>113</v>
      </c>
      <c r="F17" s="53" t="s">
        <v>56</v>
      </c>
      <c r="S17" s="3"/>
      <c r="U17" s="3"/>
    </row>
    <row r="18" spans="1:21" ht="17.45" customHeight="1" x14ac:dyDescent="0.25">
      <c r="A18" s="53" t="s">
        <v>122</v>
      </c>
      <c r="B18" s="55" t="s">
        <v>123</v>
      </c>
      <c r="C18" s="54" t="str">
        <f>CONCATENATE("S-M12x75","-","HDG")</f>
        <v>S-M12x75-HDG</v>
      </c>
      <c r="D18" s="54">
        <v>6</v>
      </c>
      <c r="E18" s="53" t="s">
        <v>113</v>
      </c>
      <c r="F18" s="53" t="s">
        <v>56</v>
      </c>
      <c r="S18" s="3"/>
      <c r="U18" s="3"/>
    </row>
    <row r="19" spans="1:21" ht="17.45" customHeight="1" x14ac:dyDescent="0.25">
      <c r="A19" s="53" t="s">
        <v>124</v>
      </c>
      <c r="B19" s="55" t="s">
        <v>125</v>
      </c>
      <c r="C19" s="54" t="str">
        <f>CONCATENATE("S-M12x75","-","HDG")</f>
        <v>S-M12x75-HDG</v>
      </c>
      <c r="D19" s="54">
        <v>6</v>
      </c>
      <c r="E19" s="53" t="s">
        <v>113</v>
      </c>
      <c r="F19" s="53" t="s">
        <v>56</v>
      </c>
    </row>
    <row r="20" spans="1:21" ht="17.45" customHeight="1" x14ac:dyDescent="0.25">
      <c r="A20" s="53" t="s">
        <v>126</v>
      </c>
      <c r="B20" s="55" t="s">
        <v>127</v>
      </c>
      <c r="C20" s="54" t="str">
        <f>CONCATENATE("S-M12x75","-","HDG")</f>
        <v>S-M12x75-HDG</v>
      </c>
      <c r="D20" s="54">
        <v>8</v>
      </c>
      <c r="E20" s="53" t="s">
        <v>113</v>
      </c>
      <c r="F20" s="53" t="s">
        <v>56</v>
      </c>
    </row>
    <row r="21" spans="1:21" ht="17.45" customHeight="1" x14ac:dyDescent="0.25">
      <c r="A21" s="53" t="s">
        <v>128</v>
      </c>
      <c r="B21" s="55" t="s">
        <v>129</v>
      </c>
      <c r="C21" s="54" t="str">
        <f>CONCATENATE("S-M12x75","-","HDG")</f>
        <v>S-M12x75-HDG</v>
      </c>
      <c r="D21" s="54">
        <v>12</v>
      </c>
      <c r="E21" s="53" t="s">
        <v>113</v>
      </c>
      <c r="F21" s="53" t="s">
        <v>56</v>
      </c>
    </row>
    <row r="22" spans="1:21" ht="17.45" customHeight="1" x14ac:dyDescent="0.25">
      <c r="A22" s="53" t="s">
        <v>130</v>
      </c>
      <c r="B22" s="55" t="s">
        <v>131</v>
      </c>
      <c r="C22" s="54" t="str">
        <f>CONCATENATE("S-M16x75","-","HDG")</f>
        <v>S-M16x75-HDG</v>
      </c>
      <c r="D22" s="54">
        <v>12</v>
      </c>
      <c r="E22" s="53" t="s">
        <v>113</v>
      </c>
      <c r="F22" s="53" t="s">
        <v>56</v>
      </c>
    </row>
    <row r="23" spans="1:21" ht="17.45" customHeight="1" x14ac:dyDescent="0.25">
      <c r="A23" s="53" t="s">
        <v>132</v>
      </c>
      <c r="B23" s="55" t="s">
        <v>133</v>
      </c>
      <c r="C23" s="54" t="str">
        <f>CONCATENATE("S-M20x75","-","HDG")</f>
        <v>S-M20x75-HDG</v>
      </c>
      <c r="D23" s="54">
        <v>12</v>
      </c>
      <c r="E23" s="53" t="s">
        <v>113</v>
      </c>
      <c r="F23" s="53" t="s">
        <v>56</v>
      </c>
    </row>
    <row r="24" spans="1:21" ht="17.45" customHeight="1" x14ac:dyDescent="0.25">
      <c r="A24" s="53" t="s">
        <v>134</v>
      </c>
      <c r="B24" s="56" t="s">
        <v>135</v>
      </c>
      <c r="C24" s="54" t="str">
        <f>CONCATENATE("M8x40","-",N5)</f>
        <v>M8x40-HDG-8.8</v>
      </c>
      <c r="D24" s="54">
        <v>2</v>
      </c>
      <c r="E24" s="53" t="s">
        <v>56</v>
      </c>
      <c r="F24" s="53" t="s">
        <v>56</v>
      </c>
    </row>
    <row r="25" spans="1:21" ht="17.45" customHeight="1" x14ac:dyDescent="0.25">
      <c r="A25" s="53" t="s">
        <v>136</v>
      </c>
      <c r="B25" s="55" t="s">
        <v>137</v>
      </c>
      <c r="E25" s="53" t="s">
        <v>138</v>
      </c>
      <c r="F25" s="53" t="s">
        <v>56</v>
      </c>
    </row>
    <row r="26" spans="1:21" ht="17.45" customHeight="1" x14ac:dyDescent="0.25">
      <c r="A26" s="53" t="s">
        <v>139</v>
      </c>
      <c r="B26" s="55" t="s">
        <v>140</v>
      </c>
      <c r="E26" s="53" t="s">
        <v>138</v>
      </c>
      <c r="F26" s="53" t="s">
        <v>56</v>
      </c>
    </row>
    <row r="27" spans="1:21" ht="17.45" customHeight="1" x14ac:dyDescent="0.25">
      <c r="A27" s="53" t="s">
        <v>141</v>
      </c>
      <c r="B27" s="56" t="s">
        <v>142</v>
      </c>
      <c r="C27" s="53" t="s">
        <v>143</v>
      </c>
      <c r="D27" s="53">
        <f>1</f>
        <v>1</v>
      </c>
      <c r="E27" s="53" t="s">
        <v>144</v>
      </c>
      <c r="F27" s="53" t="s">
        <v>56</v>
      </c>
    </row>
    <row r="28" spans="1:21" ht="17.45" customHeight="1" x14ac:dyDescent="0.25">
      <c r="C28" s="54" t="str">
        <f>CONCATENATE("S-M12x60","-",N5)</f>
        <v>S-M12x60-HDG-8.8</v>
      </c>
      <c r="D28" s="54">
        <v>8</v>
      </c>
      <c r="E28" s="53" t="s">
        <v>113</v>
      </c>
      <c r="F28" s="53" t="s">
        <v>56</v>
      </c>
    </row>
    <row r="29" spans="1:21" ht="17.45" customHeight="1" x14ac:dyDescent="0.25">
      <c r="C29" s="54" t="str">
        <f>CONCATENATE("S-M12x50","-",N5)</f>
        <v>S-M12x50-HDG-8.8</v>
      </c>
      <c r="D29" s="54">
        <v>20</v>
      </c>
      <c r="E29" s="53" t="s">
        <v>113</v>
      </c>
      <c r="F29" s="53" t="s">
        <v>56</v>
      </c>
    </row>
    <row r="30" spans="1:21" ht="17.45" customHeight="1" x14ac:dyDescent="0.25">
      <c r="A30" s="53" t="s">
        <v>145</v>
      </c>
      <c r="B30" s="56" t="s">
        <v>146</v>
      </c>
      <c r="C30" s="54" t="str">
        <f>CONCATENATE("S-M12x60","-",N5)</f>
        <v>S-M12x60-HDG-8.8</v>
      </c>
      <c r="D30" s="54">
        <v>12</v>
      </c>
      <c r="E30" s="53" t="s">
        <v>113</v>
      </c>
      <c r="F30" s="53" t="s">
        <v>56</v>
      </c>
    </row>
    <row r="31" spans="1:21" ht="17.45" customHeight="1" x14ac:dyDescent="0.25">
      <c r="C31" s="54" t="str">
        <f>CONCATENATE("M12x40","-",N5)</f>
        <v>M12x40-HDG-8.8</v>
      </c>
      <c r="D31" s="54">
        <v>6</v>
      </c>
      <c r="E31" s="53" t="s">
        <v>147</v>
      </c>
      <c r="F31" s="53" t="s">
        <v>56</v>
      </c>
    </row>
    <row r="32" spans="1:21" ht="17.45" customHeight="1" x14ac:dyDescent="0.25">
      <c r="A32" s="53" t="s">
        <v>148</v>
      </c>
      <c r="B32" s="56" t="s">
        <v>146</v>
      </c>
      <c r="C32" s="54" t="str">
        <f>CONCATENATE("S-M12x60","-",N5)</f>
        <v>S-M12x60-HDG-8.8</v>
      </c>
      <c r="D32" s="54">
        <v>12</v>
      </c>
      <c r="E32" s="53" t="s">
        <v>113</v>
      </c>
      <c r="F32" s="53" t="s">
        <v>56</v>
      </c>
    </row>
    <row r="33" spans="1:6" ht="17.45" customHeight="1" x14ac:dyDescent="0.25">
      <c r="C33" s="54" t="str">
        <f>CONCATENATE("M12x40","-",N5)</f>
        <v>M12x40-HDG-8.8</v>
      </c>
      <c r="D33" s="54">
        <v>6</v>
      </c>
      <c r="E33" s="53" t="s">
        <v>147</v>
      </c>
      <c r="F33" s="53" t="s">
        <v>56</v>
      </c>
    </row>
    <row r="34" spans="1:6" ht="17.45" customHeight="1" x14ac:dyDescent="0.25">
      <c r="A34" s="53" t="s">
        <v>149</v>
      </c>
      <c r="B34" s="56" t="s">
        <v>150</v>
      </c>
      <c r="F34" s="53" t="s">
        <v>56</v>
      </c>
    </row>
    <row r="35" spans="1:6" ht="17.45" customHeight="1" x14ac:dyDescent="0.25">
      <c r="B35" s="55" t="s">
        <v>112</v>
      </c>
      <c r="C35" s="54" t="str">
        <f>CONCATENATE("M10x40","-",N5)</f>
        <v>M10x40-HDG-8.8</v>
      </c>
      <c r="D35" s="54">
        <v>4</v>
      </c>
      <c r="F35" s="53" t="s">
        <v>56</v>
      </c>
    </row>
    <row r="36" spans="1:6" ht="17.45" customHeight="1" x14ac:dyDescent="0.25">
      <c r="B36" s="55" t="s">
        <v>115</v>
      </c>
      <c r="C36" s="54" t="str">
        <f>CONCATENATE("M10x40","-",N5)</f>
        <v>M10x40-HDG-8.8</v>
      </c>
      <c r="D36" s="54">
        <v>2</v>
      </c>
      <c r="F36" s="53" t="s">
        <v>56</v>
      </c>
    </row>
    <row r="37" spans="1:6" ht="17.45" customHeight="1" x14ac:dyDescent="0.25">
      <c r="A37" s="54" t="s">
        <v>151</v>
      </c>
      <c r="B37" s="55" t="s">
        <v>152</v>
      </c>
      <c r="E37" s="53" t="s">
        <v>153</v>
      </c>
      <c r="F37" s="53" t="s">
        <v>56</v>
      </c>
    </row>
    <row r="38" spans="1:6" ht="17.45" customHeight="1" x14ac:dyDescent="0.25">
      <c r="A38" s="53" t="s">
        <v>154</v>
      </c>
      <c r="B38" s="56" t="s">
        <v>155</v>
      </c>
      <c r="C38" s="53" t="str">
        <f>CONCATENATE("S-M12x60","-","HDG")</f>
        <v>S-M12x60-HDG</v>
      </c>
      <c r="D38" s="53">
        <v>8</v>
      </c>
      <c r="E38" s="53" t="s">
        <v>113</v>
      </c>
      <c r="F38" s="53" t="s">
        <v>56</v>
      </c>
    </row>
    <row r="39" spans="1:6" ht="17.45" customHeight="1" x14ac:dyDescent="0.25">
      <c r="C39" s="54" t="str">
        <f>CONCATENATE("M12x40","-","HDG")</f>
        <v>M12x40-HDG</v>
      </c>
      <c r="D39" s="54">
        <v>6</v>
      </c>
      <c r="E39" s="53" t="s">
        <v>147</v>
      </c>
      <c r="F39" s="53" t="s">
        <v>56</v>
      </c>
    </row>
    <row r="40" spans="1:6" ht="17.45" customHeight="1" x14ac:dyDescent="0.25">
      <c r="A40" s="54" t="s">
        <v>156</v>
      </c>
      <c r="B40" s="55" t="s">
        <v>152</v>
      </c>
      <c r="E40" s="53" t="s">
        <v>153</v>
      </c>
      <c r="F40" s="53" t="s">
        <v>56</v>
      </c>
    </row>
    <row r="41" spans="1:6" ht="17.45" customHeight="1" x14ac:dyDescent="0.25">
      <c r="A41" s="54" t="s">
        <v>157</v>
      </c>
      <c r="B41" s="55" t="s">
        <v>152</v>
      </c>
      <c r="E41" s="53" t="s">
        <v>153</v>
      </c>
      <c r="F41" s="53" t="s">
        <v>56</v>
      </c>
    </row>
    <row r="42" spans="1:6" ht="17.45" customHeight="1" x14ac:dyDescent="0.25">
      <c r="A42" s="54" t="s">
        <v>158</v>
      </c>
      <c r="B42" s="55" t="s">
        <v>159</v>
      </c>
      <c r="E42" s="54" t="s">
        <v>160</v>
      </c>
      <c r="F42" s="53" t="s">
        <v>56</v>
      </c>
    </row>
    <row r="43" spans="1:6" ht="17.45" customHeight="1" x14ac:dyDescent="0.25">
      <c r="A43" s="53" t="s">
        <v>161</v>
      </c>
      <c r="B43" s="56" t="s">
        <v>162</v>
      </c>
      <c r="F43" s="53" t="s">
        <v>56</v>
      </c>
    </row>
    <row r="44" spans="1:6" ht="17.45" customHeight="1" x14ac:dyDescent="0.25">
      <c r="B44" s="55" t="s">
        <v>112</v>
      </c>
      <c r="C44" s="54" t="str">
        <f>CONCATENATE("M12x45","-",N5)</f>
        <v>M12x45-HDG-8.8</v>
      </c>
      <c r="D44" s="54">
        <v>4</v>
      </c>
      <c r="E44" s="53" t="s">
        <v>163</v>
      </c>
      <c r="F44" s="53" t="s">
        <v>56</v>
      </c>
    </row>
    <row r="45" spans="1:6" ht="17.45" customHeight="1" x14ac:dyDescent="0.25">
      <c r="B45" s="55" t="s">
        <v>115</v>
      </c>
      <c r="C45" s="54" t="str">
        <f>CONCATENATE("M16x60","-",N6)</f>
        <v>M16x60-HDG-8.8</v>
      </c>
      <c r="D45" s="54">
        <v>4</v>
      </c>
      <c r="E45" s="53" t="s">
        <v>164</v>
      </c>
      <c r="F45" s="53" t="s">
        <v>56</v>
      </c>
    </row>
    <row r="46" spans="1:6" ht="17.45" customHeight="1" x14ac:dyDescent="0.25">
      <c r="B46" s="55" t="s">
        <v>117</v>
      </c>
      <c r="C46" s="54" t="str">
        <f>CONCATENATE("M16x60","-",N6)</f>
        <v>M16x60-HDG-8.8</v>
      </c>
      <c r="D46" s="54">
        <v>4</v>
      </c>
      <c r="E46" s="53" t="s">
        <v>165</v>
      </c>
      <c r="F46" s="53" t="s">
        <v>56</v>
      </c>
    </row>
    <row r="47" spans="1:6" ht="17.45" customHeight="1" x14ac:dyDescent="0.25">
      <c r="B47" s="55" t="s">
        <v>119</v>
      </c>
      <c r="C47" s="54" t="str">
        <f>CONCATENATE("M16x65","-",N6)</f>
        <v>M16x65-HDG-8.8</v>
      </c>
      <c r="D47" s="54">
        <v>4</v>
      </c>
      <c r="E47" s="53" t="s">
        <v>166</v>
      </c>
      <c r="F47" s="53" t="s">
        <v>56</v>
      </c>
    </row>
    <row r="48" spans="1:6" ht="17.45" customHeight="1" x14ac:dyDescent="0.25">
      <c r="B48" s="55" t="s">
        <v>121</v>
      </c>
      <c r="C48" s="54" t="str">
        <f>CONCATENATE("M20x75","-",N6)</f>
        <v>M20x75-HDG-8.8</v>
      </c>
      <c r="D48" s="54">
        <v>8</v>
      </c>
      <c r="E48" s="53" t="s">
        <v>167</v>
      </c>
      <c r="F48" s="53" t="s">
        <v>56</v>
      </c>
    </row>
    <row r="49" spans="1:6" ht="17.45" customHeight="1" x14ac:dyDescent="0.25">
      <c r="B49" s="55" t="s">
        <v>123</v>
      </c>
      <c r="C49" s="54" t="str">
        <f>CONCATENATE("M20x75","-",N6)</f>
        <v>M20x75-HDG-8.8</v>
      </c>
      <c r="D49" s="54">
        <v>8</v>
      </c>
      <c r="E49" s="53" t="s">
        <v>168</v>
      </c>
      <c r="F49" s="53" t="s">
        <v>56</v>
      </c>
    </row>
    <row r="50" spans="1:6" ht="17.45" customHeight="1" x14ac:dyDescent="0.25">
      <c r="B50" s="55" t="s">
        <v>125</v>
      </c>
      <c r="C50" s="54" t="str">
        <f>CONCATENATE("M16x60","-",N6)</f>
        <v>M16x60-HDG-8.8</v>
      </c>
      <c r="D50" s="54">
        <v>8</v>
      </c>
      <c r="E50" s="53" t="s">
        <v>169</v>
      </c>
      <c r="F50" s="53" t="s">
        <v>56</v>
      </c>
    </row>
    <row r="51" spans="1:6" ht="17.45" customHeight="1" x14ac:dyDescent="0.25">
      <c r="B51" s="55" t="s">
        <v>127</v>
      </c>
      <c r="C51" s="54" t="str">
        <f>CONCATENATE("M12x45","-",N5)</f>
        <v>M12x45-HDG-8.8</v>
      </c>
      <c r="D51" s="54">
        <v>4</v>
      </c>
      <c r="E51" s="53" t="s">
        <v>170</v>
      </c>
      <c r="F51" s="53" t="s">
        <v>56</v>
      </c>
    </row>
    <row r="52" spans="1:6" ht="17.45" customHeight="1" x14ac:dyDescent="0.25">
      <c r="A52" s="54" t="s">
        <v>171</v>
      </c>
      <c r="B52" s="55" t="s">
        <v>172</v>
      </c>
      <c r="E52" s="54" t="s">
        <v>173</v>
      </c>
      <c r="F52" s="53" t="s">
        <v>56</v>
      </c>
    </row>
    <row r="53" spans="1:6" ht="17.45" customHeight="1" x14ac:dyDescent="0.25">
      <c r="A53" s="54" t="s">
        <v>174</v>
      </c>
      <c r="B53" s="55" t="s">
        <v>175</v>
      </c>
      <c r="E53" s="54" t="s">
        <v>173</v>
      </c>
      <c r="F53" s="53" t="s">
        <v>56</v>
      </c>
    </row>
    <row r="54" spans="1:6" ht="17.45" customHeight="1" x14ac:dyDescent="0.25">
      <c r="A54" s="54" t="s">
        <v>176</v>
      </c>
      <c r="B54" s="55" t="s">
        <v>177</v>
      </c>
      <c r="E54" s="54" t="s">
        <v>173</v>
      </c>
      <c r="F54" s="53" t="s">
        <v>56</v>
      </c>
    </row>
    <row r="55" spans="1:6" ht="17.45" customHeight="1" x14ac:dyDescent="0.25">
      <c r="A55" s="54" t="s">
        <v>178</v>
      </c>
      <c r="B55" s="55" t="s">
        <v>179</v>
      </c>
      <c r="E55" s="54" t="s">
        <v>180</v>
      </c>
      <c r="F55" s="53" t="s">
        <v>56</v>
      </c>
    </row>
    <row r="56" spans="1:6" ht="17.45" customHeight="1" x14ac:dyDescent="0.25">
      <c r="A56" s="54" t="s">
        <v>181</v>
      </c>
      <c r="B56" s="55" t="s">
        <v>179</v>
      </c>
      <c r="E56" s="54" t="s">
        <v>182</v>
      </c>
      <c r="F56" s="53" t="s">
        <v>56</v>
      </c>
    </row>
    <row r="57" spans="1:6" ht="17.45" customHeight="1" x14ac:dyDescent="0.25">
      <c r="A57" s="54" t="s">
        <v>183</v>
      </c>
      <c r="B57" s="55" t="s">
        <v>184</v>
      </c>
      <c r="E57" s="53" t="s">
        <v>56</v>
      </c>
      <c r="F57" s="53" t="s">
        <v>56</v>
      </c>
    </row>
    <row r="58" spans="1:6" ht="17.45" customHeight="1" x14ac:dyDescent="0.25">
      <c r="A58" s="54" t="s">
        <v>185</v>
      </c>
      <c r="B58" s="55" t="s">
        <v>186</v>
      </c>
      <c r="C58" s="54" t="s">
        <v>187</v>
      </c>
      <c r="D58" s="54">
        <v>6</v>
      </c>
      <c r="E58" s="54" t="s">
        <v>188</v>
      </c>
      <c r="F58" s="53" t="s">
        <v>56</v>
      </c>
    </row>
    <row r="59" spans="1:6" ht="17.45" customHeight="1" x14ac:dyDescent="0.25">
      <c r="A59" s="53" t="s">
        <v>189</v>
      </c>
      <c r="B59" s="56" t="s">
        <v>190</v>
      </c>
      <c r="C59" s="53" t="s">
        <v>191</v>
      </c>
      <c r="D59" s="53">
        <v>4</v>
      </c>
      <c r="F59" s="53" t="s">
        <v>56</v>
      </c>
    </row>
    <row r="60" spans="1:6" ht="17.45" customHeight="1" x14ac:dyDescent="0.25">
      <c r="C60" s="54" t="str">
        <f>CONCATENATE("M10x30","-",N5)</f>
        <v>M10x30-HDG-8.8</v>
      </c>
      <c r="D60" s="54">
        <v>4</v>
      </c>
      <c r="F60" s="53" t="s">
        <v>56</v>
      </c>
    </row>
    <row r="61" spans="1:6" ht="17.45" customHeight="1" x14ac:dyDescent="0.25">
      <c r="C61" s="54" t="str">
        <f>CONCATENATE("M5x40","-",N5)</f>
        <v>M5x40-HDG-8.8</v>
      </c>
      <c r="D61" s="54">
        <v>4</v>
      </c>
      <c r="F61" s="53" t="s">
        <v>56</v>
      </c>
    </row>
    <row r="62" spans="1:6" ht="17.45" customHeight="1" x14ac:dyDescent="0.25">
      <c r="A62" s="53" t="s">
        <v>192</v>
      </c>
      <c r="B62" s="56" t="s">
        <v>193</v>
      </c>
      <c r="F62" s="53" t="s">
        <v>56</v>
      </c>
    </row>
    <row r="63" spans="1:6" ht="17.45" customHeight="1" x14ac:dyDescent="0.25">
      <c r="B63" s="55" t="s">
        <v>112</v>
      </c>
      <c r="C63" s="54" t="str">
        <f>CONCATENATE("S-M12x50","-",N5)</f>
        <v>S-M12x50-HDG-8.8</v>
      </c>
      <c r="D63" s="54">
        <v>16</v>
      </c>
      <c r="E63" s="53" t="s">
        <v>113</v>
      </c>
      <c r="F63" s="53" t="s">
        <v>56</v>
      </c>
    </row>
    <row r="64" spans="1:6" ht="17.45" customHeight="1" x14ac:dyDescent="0.25">
      <c r="B64" s="55" t="s">
        <v>115</v>
      </c>
      <c r="C64" s="54" t="str">
        <f>CONCATENATE("S-M12x50","-",N5)</f>
        <v>S-M12x50-HDG-8.8</v>
      </c>
      <c r="D64" s="54">
        <v>16</v>
      </c>
      <c r="E64" s="53" t="s">
        <v>113</v>
      </c>
      <c r="F64" s="53" t="s">
        <v>56</v>
      </c>
    </row>
    <row r="65" spans="1:6" ht="17.45" customHeight="1" x14ac:dyDescent="0.25">
      <c r="B65" s="55" t="s">
        <v>117</v>
      </c>
      <c r="C65" s="54" t="str">
        <f>CONCATENATE("S-M12x50","-",N5)</f>
        <v>S-M12x50-HDG-8.8</v>
      </c>
      <c r="D65" s="54">
        <v>20</v>
      </c>
      <c r="E65" s="53" t="s">
        <v>113</v>
      </c>
      <c r="F65" s="53" t="s">
        <v>56</v>
      </c>
    </row>
    <row r="66" spans="1:6" ht="17.45" customHeight="1" x14ac:dyDescent="0.25">
      <c r="B66" s="55" t="s">
        <v>119</v>
      </c>
      <c r="C66" s="54" t="str">
        <f>CONCATENATE("S-M12x50","-",N5)</f>
        <v>S-M12x50-HDG-8.8</v>
      </c>
      <c r="D66" s="54">
        <v>16</v>
      </c>
      <c r="E66" s="53" t="s">
        <v>113</v>
      </c>
      <c r="F66" s="53" t="s">
        <v>56</v>
      </c>
    </row>
    <row r="67" spans="1:6" ht="17.45" customHeight="1" x14ac:dyDescent="0.25">
      <c r="B67" s="55" t="s">
        <v>121</v>
      </c>
      <c r="C67" s="54" t="str">
        <f>CONCATENATE("S-M12x50","-",N5)</f>
        <v>S-M12x50-HDG-8.8</v>
      </c>
      <c r="D67" s="54">
        <v>20</v>
      </c>
      <c r="E67" s="53" t="s">
        <v>113</v>
      </c>
      <c r="F67" s="53" t="s">
        <v>56</v>
      </c>
    </row>
    <row r="68" spans="1:6" ht="17.45" customHeight="1" x14ac:dyDescent="0.25">
      <c r="B68" s="55" t="s">
        <v>123</v>
      </c>
      <c r="C68" s="54" t="str">
        <f>CONCATENATE("S-M12x50","-",N5)</f>
        <v>S-M12x50-HDG-8.8</v>
      </c>
      <c r="D68" s="54">
        <v>22</v>
      </c>
      <c r="E68" s="53" t="s">
        <v>113</v>
      </c>
      <c r="F68" s="53" t="s">
        <v>56</v>
      </c>
    </row>
    <row r="69" spans="1:6" ht="17.45" customHeight="1" x14ac:dyDescent="0.25">
      <c r="B69" s="55" t="s">
        <v>125</v>
      </c>
      <c r="C69" s="54" t="str">
        <f>CONCATENATE("S-M12x50","-",N5)</f>
        <v>S-M12x50-HDG-8.8</v>
      </c>
      <c r="D69" s="54">
        <v>20</v>
      </c>
      <c r="E69" s="53" t="s">
        <v>113</v>
      </c>
      <c r="F69" s="53" t="s">
        <v>56</v>
      </c>
    </row>
    <row r="70" spans="1:6" ht="17.45" customHeight="1" x14ac:dyDescent="0.25">
      <c r="B70" s="55" t="s">
        <v>127</v>
      </c>
      <c r="C70" s="54" t="str">
        <f>CONCATENATE("S-M12x50","-",N5)</f>
        <v>S-M12x50-HDG-8.8</v>
      </c>
      <c r="D70" s="54">
        <v>24</v>
      </c>
      <c r="E70" s="53" t="s">
        <v>113</v>
      </c>
      <c r="F70" s="53" t="s">
        <v>56</v>
      </c>
    </row>
    <row r="71" spans="1:6" ht="17.45" customHeight="1" x14ac:dyDescent="0.25">
      <c r="B71" s="55" t="s">
        <v>129</v>
      </c>
      <c r="C71" s="54" t="str">
        <f>CONCATENATE("S-M12x50","-",N5)</f>
        <v>S-M12x50-HDG-8.8</v>
      </c>
      <c r="D71" s="54">
        <v>26</v>
      </c>
      <c r="E71" s="53" t="s">
        <v>113</v>
      </c>
      <c r="F71" s="53" t="s">
        <v>56</v>
      </c>
    </row>
    <row r="72" spans="1:6" ht="17.45" customHeight="1" x14ac:dyDescent="0.25">
      <c r="B72" s="55" t="s">
        <v>131</v>
      </c>
      <c r="C72" s="54" t="str">
        <f>CONCATENATE("S-M12x50","-",N5)</f>
        <v>S-M12x50-HDG-8.8</v>
      </c>
      <c r="D72" s="54">
        <v>30</v>
      </c>
      <c r="E72" s="53" t="s">
        <v>113</v>
      </c>
      <c r="F72" s="53" t="s">
        <v>56</v>
      </c>
    </row>
    <row r="73" spans="1:6" ht="17.45" customHeight="1" x14ac:dyDescent="0.25">
      <c r="B73" s="55" t="s">
        <v>133</v>
      </c>
      <c r="C73" s="54" t="str">
        <f>CONCATENATE("S-M12x50","-",N5)</f>
        <v>S-M12x50-HDG-8.8</v>
      </c>
      <c r="D73" s="54">
        <v>32</v>
      </c>
      <c r="E73" s="53" t="s">
        <v>113</v>
      </c>
      <c r="F73" s="53" t="s">
        <v>56</v>
      </c>
    </row>
    <row r="74" spans="1:6" ht="17.45" customHeight="1" x14ac:dyDescent="0.25">
      <c r="B74" s="55" t="s">
        <v>194</v>
      </c>
      <c r="C74" s="54" t="str">
        <f>CONCATENATE("S-M12x50","-",N5)</f>
        <v>S-M12x50-HDG-8.8</v>
      </c>
      <c r="D74" s="54">
        <v>38</v>
      </c>
      <c r="E74" s="53" t="s">
        <v>113</v>
      </c>
      <c r="F74" s="53" t="s">
        <v>56</v>
      </c>
    </row>
    <row r="75" spans="1:6" ht="17.45" customHeight="1" x14ac:dyDescent="0.25">
      <c r="B75" s="55" t="s">
        <v>195</v>
      </c>
      <c r="C75" s="54" t="str">
        <f>CONCATENATE("S-M12x50","-",N5)</f>
        <v>S-M12x50-HDG-8.8</v>
      </c>
      <c r="D75" s="54">
        <v>28</v>
      </c>
      <c r="E75" s="53" t="s">
        <v>113</v>
      </c>
      <c r="F75" s="53" t="s">
        <v>56</v>
      </c>
    </row>
    <row r="76" spans="1:6" ht="17.45" customHeight="1" x14ac:dyDescent="0.25">
      <c r="B76" s="55" t="s">
        <v>196</v>
      </c>
      <c r="C76" s="54" t="str">
        <f>CONCATENATE("S-M12x50","-",N5)</f>
        <v>S-M12x50-HDG-8.8</v>
      </c>
      <c r="D76" s="54">
        <v>32</v>
      </c>
      <c r="E76" s="53" t="s">
        <v>113</v>
      </c>
      <c r="F76" s="53" t="s">
        <v>56</v>
      </c>
    </row>
    <row r="77" spans="1:6" ht="17.45" customHeight="1" x14ac:dyDescent="0.25">
      <c r="A77" s="54" t="s">
        <v>197</v>
      </c>
      <c r="B77" s="55" t="s">
        <v>198</v>
      </c>
      <c r="E77" s="53" t="s">
        <v>56</v>
      </c>
      <c r="F77" s="53" t="s">
        <v>56</v>
      </c>
    </row>
    <row r="78" spans="1:6" ht="17.45" customHeight="1" x14ac:dyDescent="0.25">
      <c r="A78" s="53" t="s">
        <v>199</v>
      </c>
      <c r="B78" s="56" t="s">
        <v>200</v>
      </c>
      <c r="E78" s="53" t="s">
        <v>201</v>
      </c>
      <c r="F78" s="53" t="s">
        <v>56</v>
      </c>
    </row>
    <row r="79" spans="1:6" ht="17.45" customHeight="1" x14ac:dyDescent="0.25">
      <c r="A79" s="54" t="s">
        <v>202</v>
      </c>
      <c r="B79" s="55" t="s">
        <v>203</v>
      </c>
      <c r="C79" s="54"/>
      <c r="E79" s="53" t="s">
        <v>56</v>
      </c>
      <c r="F79" s="53" t="s">
        <v>56</v>
      </c>
    </row>
    <row r="80" spans="1:6" ht="17.45" customHeight="1" x14ac:dyDescent="0.25">
      <c r="A80" s="54" t="s">
        <v>204</v>
      </c>
      <c r="B80" s="55" t="s">
        <v>205</v>
      </c>
      <c r="C80" s="54"/>
      <c r="E80" s="53" t="s">
        <v>206</v>
      </c>
      <c r="F80" s="53" t="s">
        <v>56</v>
      </c>
    </row>
    <row r="81" spans="1:6" ht="17.45" customHeight="1" x14ac:dyDescent="0.25">
      <c r="A81" s="54" t="s">
        <v>207</v>
      </c>
      <c r="B81" s="55" t="s">
        <v>208</v>
      </c>
      <c r="C81" s="54"/>
      <c r="E81" s="53" t="s">
        <v>56</v>
      </c>
      <c r="F81" s="53" t="s">
        <v>56</v>
      </c>
    </row>
    <row r="82" spans="1:6" ht="17.45" customHeight="1" x14ac:dyDescent="0.25">
      <c r="A82" s="53" t="s">
        <v>209</v>
      </c>
      <c r="B82" s="56" t="s">
        <v>210</v>
      </c>
      <c r="C82" s="54" t="str">
        <f>CONCATENATE("S-M10x50","-",N5)</f>
        <v>S-M10x50-HDG-8.8</v>
      </c>
      <c r="D82" s="53">
        <v>6</v>
      </c>
      <c r="E82" s="53" t="s">
        <v>113</v>
      </c>
      <c r="F82" s="53" t="s">
        <v>56</v>
      </c>
    </row>
    <row r="83" spans="1:6" ht="17.45" customHeight="1" x14ac:dyDescent="0.25">
      <c r="A83" s="53" t="s">
        <v>211</v>
      </c>
      <c r="B83" s="56" t="s">
        <v>212</v>
      </c>
      <c r="D83" s="53">
        <v>1</v>
      </c>
      <c r="E83" s="53" t="s">
        <v>56</v>
      </c>
      <c r="F83" s="53" t="s">
        <v>56</v>
      </c>
    </row>
    <row r="84" spans="1:6" ht="17.45" customHeight="1" x14ac:dyDescent="0.25">
      <c r="A84" s="53" t="s">
        <v>213</v>
      </c>
      <c r="B84" s="56" t="s">
        <v>214</v>
      </c>
      <c r="C84" s="54" t="str">
        <f>CONCATENATE("M20x40","-",N5)</f>
        <v>M20x40-HDG-8.8</v>
      </c>
      <c r="D84" s="54">
        <v>8</v>
      </c>
      <c r="E84" s="53" t="s">
        <v>215</v>
      </c>
      <c r="F84" s="53" t="s">
        <v>56</v>
      </c>
    </row>
    <row r="85" spans="1:6" ht="17.45" customHeight="1" x14ac:dyDescent="0.25">
      <c r="A85" s="53" t="s">
        <v>216</v>
      </c>
      <c r="B85" s="56" t="s">
        <v>217</v>
      </c>
      <c r="C85" s="54" t="str">
        <f>CONCATENATE("M10x40","-",N5)</f>
        <v>M10x40-HDG-8.8</v>
      </c>
      <c r="D85" s="54">
        <v>16</v>
      </c>
      <c r="F85" s="53" t="s">
        <v>56</v>
      </c>
    </row>
    <row r="86" spans="1:6" ht="17.45" customHeight="1" x14ac:dyDescent="0.25">
      <c r="C86" s="54" t="str">
        <f>CONCATENATE("M16x50","-",N6)</f>
        <v>M16x50-HDG-8.8</v>
      </c>
      <c r="D86" s="54">
        <v>4</v>
      </c>
      <c r="F86" s="53" t="s">
        <v>56</v>
      </c>
    </row>
    <row r="87" spans="1:6" ht="17.45" customHeight="1" x14ac:dyDescent="0.25">
      <c r="F87" s="53" t="s">
        <v>56</v>
      </c>
    </row>
    <row r="88" spans="1:6" ht="17.45" customHeight="1" x14ac:dyDescent="0.25">
      <c r="A88" s="53" t="s">
        <v>218</v>
      </c>
      <c r="B88" s="56" t="s">
        <v>217</v>
      </c>
      <c r="F88" s="53" t="s">
        <v>56</v>
      </c>
    </row>
    <row r="89" spans="1:6" ht="17.45" customHeight="1" x14ac:dyDescent="0.25">
      <c r="C89" s="54" t="str">
        <f>CONCATENATE("M10x40","-",N5)</f>
        <v>M10x40-HDG-8.8</v>
      </c>
      <c r="D89" s="54">
        <v>16</v>
      </c>
      <c r="F89" s="53" t="s">
        <v>56</v>
      </c>
    </row>
    <row r="90" spans="1:6" ht="17.45" customHeight="1" x14ac:dyDescent="0.25">
      <c r="C90" s="54" t="str">
        <f>CONCATENATE("M16x50","-",N6)</f>
        <v>M16x50-HDG-8.8</v>
      </c>
      <c r="D90" s="54">
        <v>4</v>
      </c>
      <c r="F90" s="53" t="s">
        <v>56</v>
      </c>
    </row>
    <row r="91" spans="1:6" ht="17.45" customHeight="1" x14ac:dyDescent="0.25">
      <c r="A91" s="54" t="s">
        <v>219</v>
      </c>
      <c r="F91" s="53" t="s">
        <v>56</v>
      </c>
    </row>
    <row r="92" spans="1:6" ht="17.45" customHeight="1" x14ac:dyDescent="0.25">
      <c r="A92" s="54" t="s">
        <v>220</v>
      </c>
      <c r="F92" s="53" t="s">
        <v>56</v>
      </c>
    </row>
    <row r="93" spans="1:6" ht="17.45" customHeight="1" x14ac:dyDescent="0.25">
      <c r="A93" s="53" t="s">
        <v>221</v>
      </c>
      <c r="B93" s="56" t="s">
        <v>222</v>
      </c>
      <c r="C93" s="53" t="s">
        <v>223</v>
      </c>
      <c r="F93" s="53" t="s">
        <v>56</v>
      </c>
    </row>
    <row r="94" spans="1:6" ht="17.45" customHeight="1" x14ac:dyDescent="0.25">
      <c r="C94" s="54" t="str">
        <f>CONCATENATE("M12x50","-",N5)</f>
        <v>M12x50-HDG-8.8</v>
      </c>
      <c r="D94" s="54">
        <v>6</v>
      </c>
      <c r="F94" s="53" t="s">
        <v>56</v>
      </c>
    </row>
    <row r="95" spans="1:6" ht="17.45" customHeight="1" x14ac:dyDescent="0.25">
      <c r="C95" s="54" t="str">
        <f>CONCATENATE("M12x60","-",N5)</f>
        <v>M12x60-HDG-8.8</v>
      </c>
      <c r="D95" s="54">
        <v>12</v>
      </c>
      <c r="F95" s="53" t="s">
        <v>56</v>
      </c>
    </row>
    <row r="96" spans="1:6" ht="17.45" customHeight="1" x14ac:dyDescent="0.25">
      <c r="A96" s="54" t="s">
        <v>224</v>
      </c>
      <c r="B96" s="55" t="s">
        <v>225</v>
      </c>
      <c r="C96" s="54" t="s">
        <v>187</v>
      </c>
      <c r="D96" s="54">
        <v>4</v>
      </c>
      <c r="E96" s="54" t="s">
        <v>226</v>
      </c>
      <c r="F96" s="53" t="s">
        <v>56</v>
      </c>
    </row>
    <row r="97" spans="1:6" ht="17.45" customHeight="1" x14ac:dyDescent="0.25">
      <c r="A97" s="53" t="s">
        <v>227</v>
      </c>
      <c r="B97" s="56" t="s">
        <v>228</v>
      </c>
      <c r="F97" s="53" t="s">
        <v>56</v>
      </c>
    </row>
    <row r="98" spans="1:6" ht="17.45" customHeight="1" x14ac:dyDescent="0.25">
      <c r="B98" s="55" t="s">
        <v>112</v>
      </c>
      <c r="C98" s="54" t="str">
        <f>CONCATENATE("M12x40","-",N5)</f>
        <v>M12x40-HDG-8.8</v>
      </c>
      <c r="D98" s="54">
        <v>4</v>
      </c>
      <c r="F98" s="53" t="s">
        <v>56</v>
      </c>
    </row>
    <row r="99" spans="1:6" ht="17.45" customHeight="1" x14ac:dyDescent="0.25">
      <c r="B99" s="55" t="s">
        <v>115</v>
      </c>
      <c r="C99" s="54" t="str">
        <f>CONCATENATE("M12x40","-",N5)</f>
        <v>M12x40-HDG-8.8</v>
      </c>
      <c r="D99" s="54">
        <v>4</v>
      </c>
      <c r="F99" s="53" t="s">
        <v>56</v>
      </c>
    </row>
    <row r="100" spans="1:6" ht="17.45" customHeight="1" x14ac:dyDescent="0.25">
      <c r="B100" s="55" t="s">
        <v>117</v>
      </c>
      <c r="C100" s="54" t="str">
        <f>CONCATENATE("M16x60","-",N6)</f>
        <v>M16x60-HDG-8.8</v>
      </c>
      <c r="D100" s="54">
        <v>4</v>
      </c>
      <c r="F100" s="53" t="s">
        <v>56</v>
      </c>
    </row>
    <row r="101" spans="1:6" ht="17.45" customHeight="1" x14ac:dyDescent="0.25">
      <c r="A101" s="54" t="s">
        <v>229</v>
      </c>
      <c r="B101" s="55" t="s">
        <v>230</v>
      </c>
      <c r="F101" s="53" t="s">
        <v>56</v>
      </c>
    </row>
    <row r="102" spans="1:6" ht="17.45" customHeight="1" x14ac:dyDescent="0.25">
      <c r="A102" s="54" t="s">
        <v>231</v>
      </c>
      <c r="B102" s="56" t="s">
        <v>232</v>
      </c>
      <c r="E102" s="53" t="s">
        <v>233</v>
      </c>
      <c r="F102" s="53" t="s">
        <v>56</v>
      </c>
    </row>
    <row r="103" spans="1:6" ht="17.45" customHeight="1" x14ac:dyDescent="0.25">
      <c r="A103" s="53" t="s">
        <v>234</v>
      </c>
      <c r="B103" s="56" t="s">
        <v>235</v>
      </c>
      <c r="C103" s="53" t="s">
        <v>236</v>
      </c>
      <c r="D103" s="53">
        <v>24</v>
      </c>
      <c r="F103" s="53" t="s">
        <v>56</v>
      </c>
    </row>
    <row r="104" spans="1:6" ht="17.45" customHeight="1" x14ac:dyDescent="0.25">
      <c r="B104" s="55" t="str">
        <f>CONCATENATE("M6x50","-","HDG")</f>
        <v>M6x50-HDG</v>
      </c>
      <c r="C104" s="54">
        <v>24</v>
      </c>
      <c r="F104" s="53" t="s">
        <v>56</v>
      </c>
    </row>
    <row r="105" spans="1:6" ht="17.45" customHeight="1" x14ac:dyDescent="0.25">
      <c r="A105" s="53" t="s">
        <v>237</v>
      </c>
      <c r="B105" s="56" t="s">
        <v>235</v>
      </c>
      <c r="C105" s="53" t="s">
        <v>236</v>
      </c>
      <c r="D105" s="53">
        <v>24</v>
      </c>
      <c r="F105" s="53" t="s">
        <v>56</v>
      </c>
    </row>
    <row r="106" spans="1:6" ht="17.45" customHeight="1" x14ac:dyDescent="0.25">
      <c r="B106" s="55" t="str">
        <f>CONCATENATE("M6x50","-","HDG")</f>
        <v>M6x50-HDG</v>
      </c>
      <c r="C106" s="54">
        <v>24</v>
      </c>
      <c r="F106" s="53" t="s">
        <v>56</v>
      </c>
    </row>
    <row r="107" spans="1:6" ht="17.45" customHeight="1" x14ac:dyDescent="0.25">
      <c r="A107" s="53" t="s">
        <v>238</v>
      </c>
      <c r="B107" s="56" t="s">
        <v>235</v>
      </c>
      <c r="C107" s="53" t="s">
        <v>236</v>
      </c>
      <c r="D107" s="53">
        <v>14</v>
      </c>
      <c r="F107" s="53" t="s">
        <v>56</v>
      </c>
    </row>
    <row r="108" spans="1:6" ht="17.45" customHeight="1" x14ac:dyDescent="0.25">
      <c r="B108" s="55" t="str">
        <f>CONCATENATE("M6x50","-","HDG")</f>
        <v>M6x50-HDG</v>
      </c>
      <c r="C108" s="54">
        <v>14</v>
      </c>
      <c r="F108" s="53" t="s">
        <v>56</v>
      </c>
    </row>
    <row r="109" spans="1:6" ht="17.45" customHeight="1" x14ac:dyDescent="0.25">
      <c r="A109" s="53" t="s">
        <v>239</v>
      </c>
      <c r="B109" s="56" t="s">
        <v>240</v>
      </c>
      <c r="C109" s="53" t="s">
        <v>108</v>
      </c>
      <c r="D109" s="53">
        <v>6</v>
      </c>
      <c r="F109" s="53" t="s">
        <v>56</v>
      </c>
    </row>
    <row r="110" spans="1:6" ht="17.45" customHeight="1" x14ac:dyDescent="0.25">
      <c r="B110" s="55" t="e">
        <f>CONCATENATE("S-M12x60","-",#REF!)</f>
        <v>#REF!</v>
      </c>
      <c r="C110" s="54">
        <v>6</v>
      </c>
      <c r="F110" s="53" t="s">
        <v>56</v>
      </c>
    </row>
    <row r="111" spans="1:6" ht="17.45" customHeight="1" x14ac:dyDescent="0.25">
      <c r="A111" s="54" t="s">
        <v>241</v>
      </c>
      <c r="F111" s="53" t="s">
        <v>56</v>
      </c>
    </row>
    <row r="112" spans="1:6" ht="17.45" customHeight="1" x14ac:dyDescent="0.25">
      <c r="A112" s="54" t="s">
        <v>242</v>
      </c>
      <c r="B112" s="55" t="s">
        <v>243</v>
      </c>
      <c r="F112" s="53" t="s">
        <v>56</v>
      </c>
    </row>
    <row r="113" spans="1:6" ht="17.45" customHeight="1" x14ac:dyDescent="0.25">
      <c r="A113" s="53" t="s">
        <v>244</v>
      </c>
      <c r="B113" s="56" t="s">
        <v>245</v>
      </c>
      <c r="C113" s="53" t="s">
        <v>246</v>
      </c>
      <c r="D113" s="53">
        <v>4</v>
      </c>
      <c r="F113" s="53" t="s">
        <v>56</v>
      </c>
    </row>
    <row r="114" spans="1:6" ht="17.45" customHeight="1" x14ac:dyDescent="0.25">
      <c r="C114" s="54" t="str">
        <f>CONCATENATE("S-M16x130","-",N6)</f>
        <v>S-M16x130-HDG-8.8</v>
      </c>
      <c r="D114" s="54">
        <v>4</v>
      </c>
      <c r="F114" s="53" t="s">
        <v>56</v>
      </c>
    </row>
    <row r="115" spans="1:6" ht="17.45" customHeight="1" x14ac:dyDescent="0.25">
      <c r="C115" s="54" t="str">
        <f>CONCATENATE("S-M16x140","-",N6)</f>
        <v>S-M16x140-HDG-8.8</v>
      </c>
      <c r="D115" s="54">
        <v>4</v>
      </c>
      <c r="F115" s="53" t="s">
        <v>56</v>
      </c>
    </row>
    <row r="116" spans="1:6" ht="17.45" customHeight="1" x14ac:dyDescent="0.25">
      <c r="C116" s="54" t="str">
        <f>CONCATENATE("S-M20x150","-",N6)</f>
        <v>S-M20x150-HDG-8.8</v>
      </c>
      <c r="D116" s="54">
        <v>8</v>
      </c>
      <c r="F116" s="53" t="s">
        <v>56</v>
      </c>
    </row>
    <row r="117" spans="1:6" ht="17.45" customHeight="1" x14ac:dyDescent="0.25">
      <c r="A117" s="54" t="s">
        <v>247</v>
      </c>
      <c r="B117" s="55" t="s">
        <v>245</v>
      </c>
      <c r="C117" s="54" t="s">
        <v>246</v>
      </c>
      <c r="D117" s="54">
        <v>4</v>
      </c>
      <c r="E117" s="54" t="s">
        <v>248</v>
      </c>
      <c r="F117" s="53" t="s">
        <v>56</v>
      </c>
    </row>
    <row r="118" spans="1:6" ht="17.45" customHeight="1" x14ac:dyDescent="0.25">
      <c r="A118" s="53" t="s">
        <v>249</v>
      </c>
      <c r="B118" s="56" t="s">
        <v>250</v>
      </c>
      <c r="C118" s="53" t="s">
        <v>251</v>
      </c>
      <c r="D118" s="53">
        <v>4</v>
      </c>
      <c r="F118" s="53" t="s">
        <v>56</v>
      </c>
    </row>
    <row r="119" spans="1:6" ht="17.45" customHeight="1" x14ac:dyDescent="0.25">
      <c r="B119" s="55" t="e">
        <f>CONCATENATE("M12x60","-",#REF!)</f>
        <v>#REF!</v>
      </c>
      <c r="C119" s="54">
        <v>4</v>
      </c>
      <c r="F119" s="53" t="s">
        <v>56</v>
      </c>
    </row>
    <row r="120" spans="1:6" ht="17.45" customHeight="1" x14ac:dyDescent="0.25">
      <c r="A120" s="53" t="s">
        <v>252</v>
      </c>
      <c r="B120" s="56" t="s">
        <v>253</v>
      </c>
      <c r="F120" s="53" t="s">
        <v>56</v>
      </c>
    </row>
    <row r="121" spans="1:6" ht="17.45" customHeight="1" x14ac:dyDescent="0.25">
      <c r="B121" s="55" t="e">
        <f>CONCATENATE("M4x15","-",#REF!)</f>
        <v>#REF!</v>
      </c>
      <c r="C121" s="54">
        <v>4</v>
      </c>
      <c r="F121" s="53" t="s">
        <v>56</v>
      </c>
    </row>
    <row r="122" spans="1:6" ht="17.45" customHeight="1" x14ac:dyDescent="0.25">
      <c r="A122" s="54" t="s">
        <v>254</v>
      </c>
      <c r="B122" s="55" t="s">
        <v>255</v>
      </c>
      <c r="F122" s="53" t="s">
        <v>56</v>
      </c>
    </row>
    <row r="123" spans="1:6" ht="17.45" customHeight="1" x14ac:dyDescent="0.25">
      <c r="A123" s="53" t="s">
        <v>256</v>
      </c>
      <c r="B123" s="56" t="s">
        <v>257</v>
      </c>
      <c r="C123" s="53" t="s">
        <v>258</v>
      </c>
      <c r="D123" s="53">
        <v>8</v>
      </c>
      <c r="F123" s="53" t="s">
        <v>56</v>
      </c>
    </row>
    <row r="124" spans="1:6" ht="17.45" customHeight="1" x14ac:dyDescent="0.25">
      <c r="B124" s="55" t="str">
        <f>CONCATENATE("M8x50","-","HDG")</f>
        <v>M8x50-HDG</v>
      </c>
      <c r="C124" s="54">
        <v>8</v>
      </c>
      <c r="F124" s="53" t="s">
        <v>56</v>
      </c>
    </row>
    <row r="125" spans="1:6" ht="17.45" customHeight="1" x14ac:dyDescent="0.25">
      <c r="A125" s="54" t="s">
        <v>259</v>
      </c>
      <c r="B125" s="55" t="s">
        <v>260</v>
      </c>
      <c r="F125" s="53" t="s">
        <v>56</v>
      </c>
    </row>
    <row r="126" spans="1:6" ht="17.45" customHeight="1" x14ac:dyDescent="0.25">
      <c r="B126" s="55" t="s">
        <v>261</v>
      </c>
      <c r="F126" s="53" t="s">
        <v>56</v>
      </c>
    </row>
    <row r="127" spans="1:6" ht="17.45" customHeight="1" x14ac:dyDescent="0.25">
      <c r="A127" s="54" t="s">
        <v>262</v>
      </c>
      <c r="F127" s="53" t="s">
        <v>56</v>
      </c>
    </row>
    <row r="128" spans="1:6" ht="17.45" customHeight="1" x14ac:dyDescent="0.25">
      <c r="A128" s="54" t="s">
        <v>263</v>
      </c>
      <c r="B128" s="55" t="s">
        <v>264</v>
      </c>
      <c r="C128" s="54" t="s">
        <v>265</v>
      </c>
      <c r="D128" s="54">
        <v>6</v>
      </c>
      <c r="F128" s="53" t="s">
        <v>56</v>
      </c>
    </row>
    <row r="129" spans="1:18" ht="17.45" customHeight="1" x14ac:dyDescent="0.25">
      <c r="A129" s="54"/>
      <c r="B129" s="55" t="s">
        <v>261</v>
      </c>
      <c r="C129" s="54"/>
      <c r="D129" s="54"/>
      <c r="F129" s="53" t="s">
        <v>56</v>
      </c>
    </row>
    <row r="130" spans="1:18" ht="17.45" customHeight="1" x14ac:dyDescent="0.25">
      <c r="A130" s="53" t="s">
        <v>266</v>
      </c>
      <c r="B130" s="56" t="s">
        <v>267</v>
      </c>
      <c r="C130" s="53" t="s">
        <v>268</v>
      </c>
      <c r="D130" s="53">
        <v>6</v>
      </c>
      <c r="F130" s="53" t="s">
        <v>56</v>
      </c>
    </row>
    <row r="131" spans="1:18" ht="17.45" customHeight="1" x14ac:dyDescent="0.25">
      <c r="B131" s="55" t="str">
        <f>CONCATENATE("M5x15","-","HDG")</f>
        <v>M5x15-HDG</v>
      </c>
      <c r="C131" s="54">
        <v>6</v>
      </c>
      <c r="F131" s="53" t="s">
        <v>56</v>
      </c>
    </row>
    <row r="132" spans="1:18" ht="17.45" customHeight="1" x14ac:dyDescent="0.25">
      <c r="A132" s="54" t="s">
        <v>269</v>
      </c>
      <c r="B132" s="55" t="s">
        <v>270</v>
      </c>
      <c r="F132" s="53" t="s">
        <v>56</v>
      </c>
    </row>
    <row r="133" spans="1:18" ht="17.45" customHeight="1" x14ac:dyDescent="0.25">
      <c r="F133" s="53" t="s">
        <v>56</v>
      </c>
    </row>
    <row r="134" spans="1:18" ht="17.45" customHeight="1" x14ac:dyDescent="0.25">
      <c r="A134" s="54" t="s">
        <v>271</v>
      </c>
      <c r="B134" s="55" t="s">
        <v>272</v>
      </c>
      <c r="F134" s="53" t="s">
        <v>56</v>
      </c>
    </row>
    <row r="135" spans="1:18" ht="17.45" customHeight="1" x14ac:dyDescent="0.25">
      <c r="A135" s="54" t="s">
        <v>273</v>
      </c>
      <c r="F135" s="53" t="s">
        <v>56</v>
      </c>
    </row>
    <row r="136" spans="1:18" ht="17.45" customHeight="1" x14ac:dyDescent="0.25">
      <c r="A136" s="53" t="s">
        <v>274</v>
      </c>
      <c r="B136" s="56" t="s">
        <v>275</v>
      </c>
      <c r="C136" s="53" t="s">
        <v>101</v>
      </c>
      <c r="D136" s="53">
        <v>4</v>
      </c>
      <c r="F136" s="53" t="s">
        <v>56</v>
      </c>
    </row>
    <row r="137" spans="1:18" ht="17.45" customHeight="1" x14ac:dyDescent="0.25">
      <c r="B137" s="55" t="e">
        <f>CONCATENATE("M12x45","-",#REF!)</f>
        <v>#REF!</v>
      </c>
      <c r="C137" s="54">
        <v>4</v>
      </c>
      <c r="F137" s="53" t="s">
        <v>56</v>
      </c>
    </row>
    <row r="138" spans="1:18" ht="17.45" customHeight="1" x14ac:dyDescent="0.25">
      <c r="A138" s="53" t="s">
        <v>276</v>
      </c>
      <c r="B138" s="56" t="s">
        <v>277</v>
      </c>
      <c r="C138" s="53" t="s">
        <v>187</v>
      </c>
      <c r="D138" s="53">
        <v>4</v>
      </c>
      <c r="F138" s="53" t="s">
        <v>56</v>
      </c>
    </row>
    <row r="139" spans="1:18" ht="17.45" customHeight="1" x14ac:dyDescent="0.25">
      <c r="B139" s="55" t="e">
        <f>CONCATENATE("M16x50","-",#REF!)</f>
        <v>#REF!</v>
      </c>
      <c r="C139" s="53">
        <v>4</v>
      </c>
      <c r="F139" s="53" t="s">
        <v>56</v>
      </c>
    </row>
    <row r="140" spans="1:18" s="2" customFormat="1" ht="17.45" customHeight="1" x14ac:dyDescent="0.25">
      <c r="A140" s="54" t="s">
        <v>278</v>
      </c>
      <c r="B140" s="55" t="s">
        <v>279</v>
      </c>
      <c r="C140" s="54"/>
      <c r="D140" s="54"/>
      <c r="E140" s="54"/>
      <c r="F140" s="53" t="s">
        <v>56</v>
      </c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</row>
    <row r="141" spans="1:18" ht="17.45" customHeight="1" x14ac:dyDescent="0.25">
      <c r="A141" s="53" t="s">
        <v>280</v>
      </c>
      <c r="B141" s="56" t="s">
        <v>281</v>
      </c>
      <c r="C141" s="53" t="s">
        <v>108</v>
      </c>
      <c r="D141" s="53">
        <v>16</v>
      </c>
      <c r="F141" s="53" t="s">
        <v>56</v>
      </c>
    </row>
    <row r="142" spans="1:18" ht="17.45" customHeight="1" x14ac:dyDescent="0.25">
      <c r="B142" s="55" t="e">
        <f>CONCATENATE("S-M12x60","-",#REF!)</f>
        <v>#REF!</v>
      </c>
      <c r="C142" s="54">
        <v>16</v>
      </c>
      <c r="F142" s="53" t="s">
        <v>56</v>
      </c>
    </row>
    <row r="143" spans="1:18" ht="17.45" customHeight="1" x14ac:dyDescent="0.25">
      <c r="A143" s="54" t="s">
        <v>282</v>
      </c>
      <c r="F143" s="53" t="s">
        <v>56</v>
      </c>
    </row>
    <row r="144" spans="1:18" ht="17.45" customHeight="1" x14ac:dyDescent="0.25">
      <c r="A144" s="53" t="s">
        <v>283</v>
      </c>
      <c r="B144" s="56" t="s">
        <v>284</v>
      </c>
      <c r="C144" s="53" t="s">
        <v>285</v>
      </c>
      <c r="D144" s="53">
        <v>8</v>
      </c>
      <c r="F144" s="53" t="s">
        <v>56</v>
      </c>
    </row>
    <row r="145" spans="1:18" ht="17.45" customHeight="1" x14ac:dyDescent="0.25">
      <c r="B145" s="55" t="e">
        <f>CONCATENATE("M16x60","-",#REF!)</f>
        <v>#REF!</v>
      </c>
      <c r="C145" s="54">
        <v>8</v>
      </c>
      <c r="F145" s="53" t="s">
        <v>56</v>
      </c>
    </row>
    <row r="146" spans="1:18" ht="17.45" customHeight="1" x14ac:dyDescent="0.25">
      <c r="A146" s="53" t="s">
        <v>286</v>
      </c>
      <c r="B146" s="56" t="s">
        <v>287</v>
      </c>
      <c r="C146" s="53" t="s">
        <v>288</v>
      </c>
      <c r="D146" s="53">
        <v>6</v>
      </c>
      <c r="F146" s="53" t="s">
        <v>56</v>
      </c>
    </row>
    <row r="147" spans="1:18" ht="17.45" customHeight="1" x14ac:dyDescent="0.25">
      <c r="B147" s="55" t="e">
        <f>CONCATENATE("M6x25","-",#REF!)</f>
        <v>#REF!</v>
      </c>
      <c r="C147" s="54">
        <v>6</v>
      </c>
      <c r="F147" s="53" t="s">
        <v>56</v>
      </c>
    </row>
    <row r="148" spans="1:18" ht="17.45" customHeight="1" x14ac:dyDescent="0.25">
      <c r="A148" s="53" t="s">
        <v>289</v>
      </c>
      <c r="B148" s="56" t="s">
        <v>290</v>
      </c>
      <c r="C148" s="53" t="s">
        <v>251</v>
      </c>
      <c r="D148" s="53">
        <v>1</v>
      </c>
      <c r="F148" s="53" t="s">
        <v>56</v>
      </c>
    </row>
    <row r="149" spans="1:18" ht="17.45" customHeight="1" x14ac:dyDescent="0.25">
      <c r="B149" s="55" t="e">
        <f>CONCATENATE("M16x50","-",#REF!)</f>
        <v>#REF!</v>
      </c>
      <c r="C149" s="54">
        <v>1</v>
      </c>
      <c r="F149" s="53" t="s">
        <v>56</v>
      </c>
    </row>
    <row r="150" spans="1:18" ht="17.45" customHeight="1" x14ac:dyDescent="0.25">
      <c r="A150" s="53" t="s">
        <v>291</v>
      </c>
      <c r="B150" s="56" t="s">
        <v>292</v>
      </c>
      <c r="C150" s="53" t="s">
        <v>251</v>
      </c>
      <c r="D150" s="53">
        <v>16</v>
      </c>
      <c r="F150" s="53" t="s">
        <v>56</v>
      </c>
    </row>
    <row r="151" spans="1:18" ht="17.45" customHeight="1" x14ac:dyDescent="0.25">
      <c r="B151" s="55" t="e">
        <f>CONCATENATE("M12x50","-",#REF!)</f>
        <v>#REF!</v>
      </c>
      <c r="C151" s="54">
        <v>16</v>
      </c>
      <c r="F151" s="53" t="s">
        <v>56</v>
      </c>
    </row>
    <row r="152" spans="1:18" s="2" customFormat="1" ht="17.45" customHeight="1" x14ac:dyDescent="0.25">
      <c r="A152" s="54" t="s">
        <v>293</v>
      </c>
      <c r="B152" s="55" t="s">
        <v>294</v>
      </c>
      <c r="C152" s="54"/>
      <c r="D152" s="54"/>
      <c r="E152" s="54"/>
      <c r="F152" s="53" t="s">
        <v>56</v>
      </c>
      <c r="G152" s="51"/>
      <c r="H152" s="51"/>
      <c r="I152" s="51"/>
      <c r="J152" s="51"/>
      <c r="K152" s="51"/>
      <c r="L152" s="51"/>
      <c r="M152" s="51"/>
      <c r="N152" s="51"/>
      <c r="O152" s="51"/>
      <c r="P152" s="51"/>
      <c r="Q152" s="51"/>
      <c r="R152" s="51"/>
    </row>
    <row r="153" spans="1:18" s="2" customFormat="1" ht="17.45" customHeight="1" x14ac:dyDescent="0.25">
      <c r="A153" s="54" t="s">
        <v>295</v>
      </c>
      <c r="B153" s="55" t="s">
        <v>294</v>
      </c>
      <c r="C153" s="54"/>
      <c r="D153" s="54"/>
      <c r="E153" s="54"/>
      <c r="F153" s="53" t="s">
        <v>56</v>
      </c>
      <c r="G153" s="51"/>
      <c r="H153" s="51"/>
      <c r="I153" s="51"/>
      <c r="J153" s="51"/>
      <c r="K153" s="51"/>
      <c r="L153" s="51"/>
      <c r="M153" s="51"/>
      <c r="N153" s="51"/>
      <c r="O153" s="51"/>
      <c r="P153" s="51"/>
      <c r="Q153" s="51"/>
      <c r="R153" s="51"/>
    </row>
    <row r="154" spans="1:18" s="2" customFormat="1" ht="17.45" customHeight="1" x14ac:dyDescent="0.25">
      <c r="A154" s="54" t="s">
        <v>296</v>
      </c>
      <c r="B154" s="55" t="s">
        <v>294</v>
      </c>
      <c r="C154" s="54"/>
      <c r="D154" s="54"/>
      <c r="E154" s="54"/>
      <c r="F154" s="53" t="s">
        <v>56</v>
      </c>
      <c r="G154" s="51"/>
      <c r="H154" s="51"/>
      <c r="I154" s="51"/>
      <c r="J154" s="51"/>
      <c r="K154" s="51"/>
      <c r="L154" s="51"/>
      <c r="M154" s="51"/>
      <c r="N154" s="51"/>
      <c r="O154" s="51"/>
      <c r="P154" s="51"/>
      <c r="Q154" s="51"/>
      <c r="R154" s="51"/>
    </row>
    <row r="155" spans="1:18" s="2" customFormat="1" ht="17.45" customHeight="1" x14ac:dyDescent="0.25">
      <c r="A155" s="54" t="s">
        <v>297</v>
      </c>
      <c r="B155" s="55" t="s">
        <v>294</v>
      </c>
      <c r="C155" s="54"/>
      <c r="D155" s="54"/>
      <c r="E155" s="54"/>
      <c r="F155" s="53" t="s">
        <v>56</v>
      </c>
      <c r="G155" s="51"/>
      <c r="H155" s="51"/>
      <c r="I155" s="51"/>
      <c r="J155" s="51"/>
      <c r="K155" s="51"/>
      <c r="L155" s="51"/>
      <c r="M155" s="51"/>
      <c r="N155" s="51"/>
      <c r="O155" s="51"/>
      <c r="P155" s="51"/>
      <c r="Q155" s="51"/>
      <c r="R155" s="51"/>
    </row>
    <row r="156" spans="1:18" s="2" customFormat="1" ht="17.45" customHeight="1" x14ac:dyDescent="0.25">
      <c r="A156" s="54" t="s">
        <v>298</v>
      </c>
      <c r="B156" s="55" t="s">
        <v>294</v>
      </c>
      <c r="C156" s="54"/>
      <c r="D156" s="54"/>
      <c r="E156" s="54"/>
      <c r="F156" s="53" t="s">
        <v>56</v>
      </c>
      <c r="G156" s="51"/>
      <c r="H156" s="51"/>
      <c r="I156" s="51"/>
      <c r="J156" s="51"/>
      <c r="K156" s="51"/>
      <c r="L156" s="51"/>
      <c r="M156" s="51"/>
      <c r="N156" s="51"/>
      <c r="O156" s="51"/>
      <c r="P156" s="51"/>
      <c r="Q156" s="51"/>
      <c r="R156" s="51"/>
    </row>
    <row r="157" spans="1:18" ht="17.45" customHeight="1" x14ac:dyDescent="0.25">
      <c r="A157" s="53" t="s">
        <v>299</v>
      </c>
      <c r="B157" s="56" t="s">
        <v>300</v>
      </c>
      <c r="C157" s="53" t="s">
        <v>265</v>
      </c>
      <c r="D157" s="53">
        <v>4</v>
      </c>
      <c r="F157" s="53" t="s">
        <v>56</v>
      </c>
    </row>
    <row r="158" spans="1:18" ht="17.45" customHeight="1" x14ac:dyDescent="0.25">
      <c r="B158" s="55" t="e">
        <f>CONCATENATE("M20x60","-",#REF!)</f>
        <v>#REF!</v>
      </c>
      <c r="C158" s="54">
        <v>4</v>
      </c>
      <c r="F158" s="53" t="s">
        <v>56</v>
      </c>
    </row>
    <row r="159" spans="1:18" ht="17.45" customHeight="1" x14ac:dyDescent="0.25">
      <c r="A159" s="53" t="s">
        <v>301</v>
      </c>
      <c r="B159" s="56" t="s">
        <v>300</v>
      </c>
      <c r="C159" s="53" t="s">
        <v>265</v>
      </c>
      <c r="D159" s="53">
        <v>6</v>
      </c>
      <c r="F159" s="53" t="s">
        <v>56</v>
      </c>
    </row>
    <row r="160" spans="1:18" ht="17.45" customHeight="1" x14ac:dyDescent="0.25">
      <c r="B160" s="55" t="e">
        <f>CONCATENATE("M20x60","-",#REF!)</f>
        <v>#REF!</v>
      </c>
      <c r="C160" s="54">
        <v>6</v>
      </c>
      <c r="F160" s="53" t="s">
        <v>56</v>
      </c>
    </row>
    <row r="161" spans="1:18" s="2" customFormat="1" ht="17.45" customHeight="1" x14ac:dyDescent="0.25">
      <c r="A161" s="54" t="s">
        <v>302</v>
      </c>
      <c r="B161" s="55" t="s">
        <v>303</v>
      </c>
      <c r="C161" s="54"/>
      <c r="D161" s="54"/>
      <c r="E161" s="54"/>
      <c r="F161" s="53" t="s">
        <v>56</v>
      </c>
      <c r="G161" s="51"/>
      <c r="H161" s="51"/>
      <c r="I161" s="51"/>
      <c r="J161" s="51"/>
      <c r="K161" s="51"/>
      <c r="L161" s="51"/>
      <c r="M161" s="51"/>
      <c r="N161" s="51"/>
      <c r="O161" s="51"/>
      <c r="P161" s="51"/>
      <c r="Q161" s="51"/>
      <c r="R161" s="51"/>
    </row>
    <row r="162" spans="1:18" ht="17.45" customHeight="1" x14ac:dyDescent="0.25">
      <c r="A162" s="53" t="s">
        <v>304</v>
      </c>
      <c r="F162" s="53" t="s">
        <v>56</v>
      </c>
    </row>
    <row r="163" spans="1:18" s="2" customFormat="1" ht="17.45" customHeight="1" x14ac:dyDescent="0.25">
      <c r="A163" s="54" t="s">
        <v>305</v>
      </c>
      <c r="B163" s="55" t="s">
        <v>306</v>
      </c>
      <c r="C163" s="54"/>
      <c r="D163" s="54"/>
      <c r="E163" s="54"/>
      <c r="F163" s="53" t="s">
        <v>56</v>
      </c>
      <c r="G163" s="51"/>
      <c r="H163" s="51"/>
      <c r="I163" s="51"/>
      <c r="J163" s="51"/>
      <c r="K163" s="51"/>
      <c r="L163" s="51"/>
      <c r="M163" s="51"/>
      <c r="N163" s="51"/>
      <c r="O163" s="51"/>
      <c r="P163" s="51"/>
      <c r="Q163" s="51"/>
      <c r="R163" s="51"/>
    </row>
    <row r="164" spans="1:18" ht="17.45" customHeight="1" x14ac:dyDescent="0.25">
      <c r="B164" s="55" t="s">
        <v>261</v>
      </c>
      <c r="F164" s="53" t="s">
        <v>56</v>
      </c>
    </row>
    <row r="165" spans="1:18" s="2" customFormat="1" ht="17.45" customHeight="1" x14ac:dyDescent="0.25">
      <c r="A165" s="54" t="s">
        <v>307</v>
      </c>
      <c r="B165" s="55" t="s">
        <v>308</v>
      </c>
      <c r="C165" s="54"/>
      <c r="D165" s="54"/>
      <c r="E165" s="54"/>
      <c r="F165" s="53" t="s">
        <v>56</v>
      </c>
      <c r="G165" s="51"/>
      <c r="H165" s="51"/>
      <c r="I165" s="51"/>
      <c r="J165" s="51"/>
      <c r="K165" s="51"/>
      <c r="L165" s="51"/>
      <c r="M165" s="51"/>
      <c r="N165" s="51"/>
      <c r="O165" s="51"/>
      <c r="P165" s="51"/>
      <c r="Q165" s="51"/>
      <c r="R165" s="51"/>
    </row>
    <row r="166" spans="1:18" s="2" customFormat="1" ht="17.45" customHeight="1" x14ac:dyDescent="0.25">
      <c r="A166" s="54" t="s">
        <v>309</v>
      </c>
      <c r="B166" s="55"/>
      <c r="C166" s="54"/>
      <c r="D166" s="54"/>
      <c r="E166" s="54"/>
      <c r="F166" s="53" t="s">
        <v>56</v>
      </c>
      <c r="G166" s="51"/>
      <c r="H166" s="51"/>
      <c r="I166" s="51"/>
      <c r="J166" s="51"/>
      <c r="K166" s="51"/>
      <c r="L166" s="51"/>
      <c r="M166" s="51"/>
      <c r="N166" s="51"/>
      <c r="O166" s="51"/>
      <c r="P166" s="51"/>
      <c r="Q166" s="51"/>
      <c r="R166" s="51"/>
    </row>
    <row r="167" spans="1:18" ht="17.45" customHeight="1" x14ac:dyDescent="0.25">
      <c r="A167" s="53" t="s">
        <v>310</v>
      </c>
      <c r="B167" s="56" t="s">
        <v>311</v>
      </c>
      <c r="C167" s="53" t="s">
        <v>312</v>
      </c>
      <c r="D167" s="53">
        <v>4</v>
      </c>
      <c r="F167" s="53" t="s">
        <v>56</v>
      </c>
    </row>
    <row r="168" spans="1:18" ht="17.45" customHeight="1" x14ac:dyDescent="0.25">
      <c r="B168" s="55" t="e">
        <f>CONCATENATE("M10x45","-",#REF!)</f>
        <v>#REF!</v>
      </c>
      <c r="C168" s="54">
        <v>4</v>
      </c>
      <c r="F168" s="53" t="s">
        <v>56</v>
      </c>
    </row>
    <row r="169" spans="1:18" ht="17.45" customHeight="1" x14ac:dyDescent="0.25">
      <c r="A169" s="53" t="s">
        <v>313</v>
      </c>
      <c r="B169" s="56" t="s">
        <v>314</v>
      </c>
      <c r="C169" s="53" t="s">
        <v>265</v>
      </c>
      <c r="D169" s="53">
        <v>16</v>
      </c>
      <c r="F169" s="53" t="s">
        <v>56</v>
      </c>
    </row>
    <row r="170" spans="1:18" ht="17.45" customHeight="1" x14ac:dyDescent="0.25">
      <c r="A170" s="53">
        <v>92.1</v>
      </c>
      <c r="B170" s="55" t="e">
        <f>CONCATENATE("M20x75","-",#REF!)</f>
        <v>#REF!</v>
      </c>
      <c r="C170" s="54">
        <v>4</v>
      </c>
      <c r="F170" s="53" t="s">
        <v>56</v>
      </c>
    </row>
    <row r="171" spans="1:18" ht="17.45" customHeight="1" x14ac:dyDescent="0.25">
      <c r="A171" s="53">
        <v>92.2</v>
      </c>
      <c r="B171" s="55" t="e">
        <f>CONCATENATE("M16x60","-",#REF!)</f>
        <v>#REF!</v>
      </c>
      <c r="C171" s="54">
        <v>2</v>
      </c>
      <c r="F171" s="53" t="s">
        <v>56</v>
      </c>
    </row>
    <row r="172" spans="1:18" ht="17.45" customHeight="1" x14ac:dyDescent="0.25">
      <c r="A172" s="53">
        <v>92.3</v>
      </c>
      <c r="B172" s="55" t="e">
        <f>CONCATENATE("M12x40","-",#REF!)</f>
        <v>#REF!</v>
      </c>
      <c r="C172" s="54">
        <v>2</v>
      </c>
      <c r="F172" s="53" t="s">
        <v>56</v>
      </c>
    </row>
    <row r="173" spans="1:18" ht="17.45" customHeight="1" x14ac:dyDescent="0.25">
      <c r="A173" s="53">
        <v>92.4</v>
      </c>
      <c r="B173" s="55" t="e">
        <f>CONCATENATE("M16x25","-",#REF!)</f>
        <v>#REF!</v>
      </c>
      <c r="C173" s="54">
        <v>1</v>
      </c>
      <c r="F173" s="53" t="s">
        <v>56</v>
      </c>
    </row>
    <row r="174" spans="1:18" ht="17.45" customHeight="1" x14ac:dyDescent="0.25">
      <c r="A174" s="53">
        <v>92.5</v>
      </c>
      <c r="B174" s="55" t="e">
        <f>CONCATENATE("M16x90","-",#REF!)</f>
        <v>#REF!</v>
      </c>
      <c r="C174" s="54">
        <v>2</v>
      </c>
      <c r="F174" s="53" t="s">
        <v>56</v>
      </c>
    </row>
    <row r="175" spans="1:18" ht="17.45" customHeight="1" x14ac:dyDescent="0.25">
      <c r="A175" s="54" t="s">
        <v>315</v>
      </c>
      <c r="B175" s="55" t="s">
        <v>316</v>
      </c>
      <c r="F175" s="53" t="s">
        <v>56</v>
      </c>
    </row>
    <row r="176" spans="1:18" ht="17.45" customHeight="1" x14ac:dyDescent="0.25">
      <c r="A176" s="53" t="s">
        <v>317</v>
      </c>
      <c r="B176" s="56" t="s">
        <v>318</v>
      </c>
      <c r="C176" s="53" t="s">
        <v>265</v>
      </c>
      <c r="D176" s="53">
        <v>16</v>
      </c>
      <c r="F176" s="53" t="s">
        <v>56</v>
      </c>
    </row>
    <row r="177" spans="1:6" ht="17.45" customHeight="1" x14ac:dyDescent="0.25">
      <c r="A177" s="53">
        <v>94.1</v>
      </c>
      <c r="B177" s="55" t="e">
        <f>CONCATENATE("M20x75","-",#REF!)</f>
        <v>#REF!</v>
      </c>
      <c r="C177" s="54">
        <v>4</v>
      </c>
      <c r="F177" s="53" t="s">
        <v>56</v>
      </c>
    </row>
    <row r="178" spans="1:6" ht="17.45" customHeight="1" x14ac:dyDescent="0.25">
      <c r="A178" s="53">
        <v>94.2</v>
      </c>
      <c r="B178" s="55" t="e">
        <f>CONCATENATE("M16x60","-",#REF!)</f>
        <v>#REF!</v>
      </c>
      <c r="C178" s="54">
        <v>2</v>
      </c>
      <c r="F178" s="53" t="s">
        <v>56</v>
      </c>
    </row>
    <row r="179" spans="1:6" ht="17.45" customHeight="1" x14ac:dyDescent="0.25">
      <c r="A179" s="53">
        <v>94.3</v>
      </c>
      <c r="B179" s="55" t="e">
        <f>CONCATENATE("M12x40","-",#REF!)</f>
        <v>#REF!</v>
      </c>
      <c r="C179" s="54">
        <v>2</v>
      </c>
      <c r="F179" s="53" t="s">
        <v>56</v>
      </c>
    </row>
    <row r="180" spans="1:6" ht="17.45" customHeight="1" x14ac:dyDescent="0.25">
      <c r="A180" s="53">
        <v>94.4</v>
      </c>
      <c r="B180" s="55" t="e">
        <f>CONCATENATE("M16x25","-",#REF!)</f>
        <v>#REF!</v>
      </c>
      <c r="C180" s="54">
        <v>1</v>
      </c>
      <c r="F180" s="53" t="s">
        <v>56</v>
      </c>
    </row>
    <row r="181" spans="1:6" ht="17.45" customHeight="1" x14ac:dyDescent="0.25">
      <c r="A181" s="53">
        <v>94.5</v>
      </c>
      <c r="B181" s="55" t="e">
        <f>CONCATENATE("M16x90","-",#REF!)</f>
        <v>#REF!</v>
      </c>
      <c r="C181" s="54">
        <v>2</v>
      </c>
      <c r="F181" s="53" t="s">
        <v>56</v>
      </c>
    </row>
    <row r="182" spans="1:6" ht="17.45" customHeight="1" x14ac:dyDescent="0.25">
      <c r="A182" s="54" t="s">
        <v>319</v>
      </c>
      <c r="B182" s="55" t="s">
        <v>320</v>
      </c>
      <c r="C182" s="53" t="s">
        <v>265</v>
      </c>
      <c r="D182" s="53">
        <v>16</v>
      </c>
      <c r="F182" s="53" t="s">
        <v>56</v>
      </c>
    </row>
    <row r="183" spans="1:6" ht="17.45" customHeight="1" x14ac:dyDescent="0.25">
      <c r="A183" s="53" t="s">
        <v>321</v>
      </c>
      <c r="B183" s="56" t="s">
        <v>322</v>
      </c>
      <c r="C183" s="53" t="s">
        <v>265</v>
      </c>
      <c r="D183" s="53">
        <v>16</v>
      </c>
      <c r="F183" s="53" t="s">
        <v>56</v>
      </c>
    </row>
    <row r="184" spans="1:6" ht="17.45" customHeight="1" x14ac:dyDescent="0.25">
      <c r="A184" s="53">
        <v>96.1</v>
      </c>
      <c r="B184" s="55" t="e">
        <f>CONCATENATE("M20x75","-",#REF!)</f>
        <v>#REF!</v>
      </c>
      <c r="C184" s="54">
        <v>4</v>
      </c>
      <c r="F184" s="53" t="s">
        <v>56</v>
      </c>
    </row>
    <row r="185" spans="1:6" ht="17.45" customHeight="1" x14ac:dyDescent="0.25">
      <c r="A185" s="53">
        <v>96.2</v>
      </c>
      <c r="B185" s="55" t="e">
        <f>CONCATENATE("M16x40","-",#REF!)</f>
        <v>#REF!</v>
      </c>
      <c r="C185" s="54">
        <v>6</v>
      </c>
      <c r="F185" s="53" t="s">
        <v>56</v>
      </c>
    </row>
    <row r="186" spans="1:6" ht="17.45" customHeight="1" x14ac:dyDescent="0.25">
      <c r="A186" s="53">
        <v>96.3</v>
      </c>
      <c r="B186" s="55" t="e">
        <f>CONCATENATE("M20x40","-",#REF!)</f>
        <v>#REF!</v>
      </c>
      <c r="C186" s="54">
        <v>4</v>
      </c>
      <c r="F186" s="53" t="s">
        <v>56</v>
      </c>
    </row>
    <row r="187" spans="1:6" ht="17.45" customHeight="1" x14ac:dyDescent="0.25">
      <c r="A187" s="53">
        <v>96.4</v>
      </c>
      <c r="B187" s="55" t="e">
        <f>CONCATENATE("M16x25","-",#REF!)</f>
        <v>#REF!</v>
      </c>
      <c r="C187" s="54">
        <v>1</v>
      </c>
      <c r="F187" s="53" t="s">
        <v>56</v>
      </c>
    </row>
    <row r="188" spans="1:6" ht="17.45" customHeight="1" x14ac:dyDescent="0.25">
      <c r="A188" s="53">
        <v>96.5</v>
      </c>
      <c r="B188" s="55" t="s">
        <v>323</v>
      </c>
      <c r="C188" s="54">
        <v>0</v>
      </c>
      <c r="F188" s="53" t="s">
        <v>56</v>
      </c>
    </row>
    <row r="189" spans="1:6" ht="17.45" customHeight="1" x14ac:dyDescent="0.25">
      <c r="A189" s="53" t="s">
        <v>324</v>
      </c>
      <c r="B189" s="56" t="s">
        <v>325</v>
      </c>
      <c r="C189" s="53" t="s">
        <v>326</v>
      </c>
      <c r="D189" s="53">
        <v>8</v>
      </c>
      <c r="F189" s="53" t="s">
        <v>56</v>
      </c>
    </row>
    <row r="190" spans="1:6" ht="17.45" customHeight="1" x14ac:dyDescent="0.25">
      <c r="B190" s="55" t="e">
        <f>CONCATENATE("M10x50","-",#REF!)</f>
        <v>#REF!</v>
      </c>
      <c r="C190" s="54">
        <v>8</v>
      </c>
      <c r="F190" s="53" t="s">
        <v>56</v>
      </c>
    </row>
    <row r="191" spans="1:6" ht="17.45" customHeight="1" x14ac:dyDescent="0.25">
      <c r="A191" s="53" t="s">
        <v>327</v>
      </c>
      <c r="B191" s="56" t="s">
        <v>325</v>
      </c>
      <c r="C191" s="53" t="s">
        <v>328</v>
      </c>
      <c r="D191" s="53">
        <v>8</v>
      </c>
      <c r="E191" s="53" t="s">
        <v>70</v>
      </c>
      <c r="F191" s="53" t="s">
        <v>56</v>
      </c>
    </row>
    <row r="192" spans="1:6" ht="17.45" customHeight="1" x14ac:dyDescent="0.25">
      <c r="B192" s="55" t="e">
        <f>CONCATENATE("S-M10x45","-",#REF!)</f>
        <v>#REF!</v>
      </c>
      <c r="C192" s="54">
        <v>8</v>
      </c>
      <c r="F192" s="53" t="s">
        <v>56</v>
      </c>
    </row>
    <row r="193" spans="1:6" ht="17.45" customHeight="1" x14ac:dyDescent="0.25">
      <c r="A193" s="53" t="s">
        <v>329</v>
      </c>
      <c r="B193" s="56" t="s">
        <v>325</v>
      </c>
      <c r="C193" s="53" t="s">
        <v>326</v>
      </c>
      <c r="D193" s="53">
        <v>8</v>
      </c>
      <c r="F193" s="53" t="s">
        <v>56</v>
      </c>
    </row>
    <row r="194" spans="1:6" ht="17.45" customHeight="1" x14ac:dyDescent="0.25">
      <c r="B194" s="55" t="e">
        <f>CONCATENATE("M10x50","-",#REF!)</f>
        <v>#REF!</v>
      </c>
      <c r="C194" s="54">
        <v>8</v>
      </c>
      <c r="F194" s="53" t="s">
        <v>56</v>
      </c>
    </row>
    <row r="195" spans="1:6" ht="17.45" customHeight="1" x14ac:dyDescent="0.25">
      <c r="A195" s="53" t="s">
        <v>330</v>
      </c>
      <c r="B195" s="56" t="s">
        <v>325</v>
      </c>
      <c r="C195" s="53" t="s">
        <v>328</v>
      </c>
      <c r="D195" s="53">
        <v>8</v>
      </c>
      <c r="E195" s="53" t="s">
        <v>70</v>
      </c>
      <c r="F195" s="53" t="s">
        <v>56</v>
      </c>
    </row>
    <row r="196" spans="1:6" ht="17.45" customHeight="1" x14ac:dyDescent="0.25">
      <c r="B196" s="55" t="e">
        <f>CONCATENATE("S-M10x45","-",#REF!)</f>
        <v>#REF!</v>
      </c>
      <c r="C196" s="54">
        <v>8</v>
      </c>
      <c r="F196" s="53" t="s">
        <v>56</v>
      </c>
    </row>
    <row r="197" spans="1:6" ht="17.45" customHeight="1" x14ac:dyDescent="0.25">
      <c r="A197" s="53" t="s">
        <v>331</v>
      </c>
      <c r="B197" s="56" t="s">
        <v>332</v>
      </c>
      <c r="C197" s="53" t="s">
        <v>187</v>
      </c>
      <c r="D197" s="53">
        <v>4</v>
      </c>
      <c r="F197" s="53" t="s">
        <v>56</v>
      </c>
    </row>
    <row r="198" spans="1:6" ht="17.45" customHeight="1" x14ac:dyDescent="0.25">
      <c r="B198" s="55" t="e">
        <f>CONCATENATE("M16x50","-",#REF!)</f>
        <v>#REF!</v>
      </c>
      <c r="C198" s="54">
        <v>4</v>
      </c>
      <c r="F198" s="53" t="s">
        <v>56</v>
      </c>
    </row>
    <row r="199" spans="1:6" ht="17.45" customHeight="1" x14ac:dyDescent="0.25">
      <c r="A199" s="53" t="s">
        <v>333</v>
      </c>
      <c r="F199" s="53" t="s">
        <v>56</v>
      </c>
    </row>
    <row r="200" spans="1:6" ht="17.45" customHeight="1" x14ac:dyDescent="0.25">
      <c r="A200" s="53" t="s">
        <v>334</v>
      </c>
      <c r="F200" s="53" t="s">
        <v>56</v>
      </c>
    </row>
    <row r="201" spans="1:6" ht="17.45" customHeight="1" x14ac:dyDescent="0.25">
      <c r="A201" s="53" t="s">
        <v>335</v>
      </c>
      <c r="F201" s="53" t="s">
        <v>56</v>
      </c>
    </row>
    <row r="202" spans="1:6" ht="17.45" customHeight="1" x14ac:dyDescent="0.25">
      <c r="A202" s="53" t="s">
        <v>336</v>
      </c>
      <c r="F202" s="53" t="s">
        <v>56</v>
      </c>
    </row>
    <row r="203" spans="1:6" ht="17.45" customHeight="1" x14ac:dyDescent="0.25">
      <c r="A203" s="53" t="s">
        <v>337</v>
      </c>
      <c r="B203" s="56" t="s">
        <v>338</v>
      </c>
      <c r="F203" s="53" t="s">
        <v>56</v>
      </c>
    </row>
    <row r="204" spans="1:6" ht="17.45" customHeight="1" x14ac:dyDescent="0.25">
      <c r="A204" s="53" t="s">
        <v>339</v>
      </c>
      <c r="B204" s="56" t="s">
        <v>340</v>
      </c>
      <c r="F204" s="53" t="s">
        <v>56</v>
      </c>
    </row>
    <row r="205" spans="1:6" ht="17.45" customHeight="1" x14ac:dyDescent="0.25">
      <c r="A205" s="53" t="s">
        <v>341</v>
      </c>
      <c r="B205" s="56" t="s">
        <v>253</v>
      </c>
      <c r="F205" s="53" t="s">
        <v>56</v>
      </c>
    </row>
    <row r="206" spans="1:6" ht="17.45" customHeight="1" x14ac:dyDescent="0.25">
      <c r="A206" s="53" t="s">
        <v>342</v>
      </c>
      <c r="F206" s="53" t="s">
        <v>56</v>
      </c>
    </row>
    <row r="207" spans="1:6" ht="17.45" customHeight="1" x14ac:dyDescent="0.25">
      <c r="A207" s="53" t="s">
        <v>343</v>
      </c>
      <c r="B207" s="56" t="s">
        <v>344</v>
      </c>
      <c r="C207" s="53" t="s">
        <v>187</v>
      </c>
      <c r="D207" s="53">
        <v>6</v>
      </c>
      <c r="F207" s="53" t="s">
        <v>56</v>
      </c>
    </row>
    <row r="208" spans="1:6" ht="17.45" customHeight="1" x14ac:dyDescent="0.25">
      <c r="B208" s="55" t="e">
        <f>CONCATENATE("M16x50","-",#REF!)</f>
        <v>#REF!</v>
      </c>
      <c r="C208" s="54">
        <v>6</v>
      </c>
      <c r="F208" s="53" t="s">
        <v>56</v>
      </c>
    </row>
    <row r="209" spans="1:11" ht="17.45" customHeight="1" x14ac:dyDescent="0.25">
      <c r="F209" s="53" t="s">
        <v>56</v>
      </c>
    </row>
    <row r="210" spans="1:11" ht="17.45" customHeight="1" x14ac:dyDescent="0.25">
      <c r="A210" s="53" t="s">
        <v>345</v>
      </c>
      <c r="B210" s="56" t="s">
        <v>346</v>
      </c>
      <c r="E210" s="53" t="s">
        <v>153</v>
      </c>
      <c r="F210" s="53" t="s">
        <v>56</v>
      </c>
    </row>
    <row r="211" spans="1:11" ht="17.45" customHeight="1" x14ac:dyDescent="0.25">
      <c r="A211" s="53" t="s">
        <v>347</v>
      </c>
      <c r="B211" s="56" t="s">
        <v>306</v>
      </c>
      <c r="F211" s="53" t="s">
        <v>56</v>
      </c>
    </row>
    <row r="212" spans="1:11" ht="17.45" customHeight="1" x14ac:dyDescent="0.25">
      <c r="C212" s="53" t="s">
        <v>187</v>
      </c>
      <c r="D212" s="53">
        <v>15</v>
      </c>
      <c r="F212" s="53" t="s">
        <v>56</v>
      </c>
    </row>
    <row r="213" spans="1:11" ht="17.45" customHeight="1" x14ac:dyDescent="0.25">
      <c r="C213" s="53" t="s">
        <v>348</v>
      </c>
      <c r="F213" s="53" t="s">
        <v>56</v>
      </c>
    </row>
    <row r="214" spans="1:11" ht="17.45" customHeight="1" x14ac:dyDescent="0.25">
      <c r="F214" s="53" t="s">
        <v>56</v>
      </c>
    </row>
    <row r="215" spans="1:11" ht="17.45" customHeight="1" x14ac:dyDescent="0.25">
      <c r="F215" s="53" t="s">
        <v>56</v>
      </c>
    </row>
    <row r="216" spans="1:11" ht="17.45" customHeight="1" x14ac:dyDescent="0.25">
      <c r="A216" s="53" t="s">
        <v>349</v>
      </c>
      <c r="B216" s="56" t="s">
        <v>350</v>
      </c>
      <c r="F216" s="53" t="s">
        <v>56</v>
      </c>
    </row>
    <row r="217" spans="1:11" ht="17.45" customHeight="1" x14ac:dyDescent="0.25">
      <c r="B217" s="56" t="s">
        <v>351</v>
      </c>
      <c r="C217" s="53" t="s">
        <v>251</v>
      </c>
      <c r="D217" s="53">
        <v>28</v>
      </c>
      <c r="F217" s="53" t="s">
        <v>56</v>
      </c>
    </row>
    <row r="218" spans="1:11" ht="17.45" customHeight="1" x14ac:dyDescent="0.25">
      <c r="B218" s="56" t="s">
        <v>352</v>
      </c>
      <c r="C218" s="53" t="s">
        <v>353</v>
      </c>
      <c r="D218" s="53">
        <v>4</v>
      </c>
      <c r="F218" s="53" t="s">
        <v>56</v>
      </c>
    </row>
    <row r="221" spans="1:11" ht="17.45" customHeight="1" x14ac:dyDescent="0.25">
      <c r="A221" s="66"/>
      <c r="B221" s="67"/>
      <c r="C221" s="68"/>
      <c r="D221" s="68"/>
      <c r="E221" s="75" t="s">
        <v>354</v>
      </c>
      <c r="F221" s="76" t="s">
        <v>69</v>
      </c>
      <c r="G221" s="77" t="s">
        <v>355</v>
      </c>
      <c r="H221" s="57" t="s">
        <v>72</v>
      </c>
      <c r="I221" s="57" t="s">
        <v>73</v>
      </c>
      <c r="J221" s="57" t="s">
        <v>74</v>
      </c>
      <c r="K221" s="57" t="s">
        <v>356</v>
      </c>
    </row>
    <row r="222" spans="1:11" ht="50.1" customHeight="1" x14ac:dyDescent="0.25">
      <c r="A222" s="69"/>
      <c r="B222" s="81"/>
      <c r="C222" s="74"/>
      <c r="D222" s="74"/>
      <c r="E222" s="61" t="s">
        <v>357</v>
      </c>
      <c r="G222" s="53">
        <v>1</v>
      </c>
      <c r="H222" s="53">
        <v>1</v>
      </c>
      <c r="I222" s="53">
        <v>1</v>
      </c>
      <c r="J222" s="62">
        <v>0</v>
      </c>
      <c r="K222" s="62" t="s">
        <v>358</v>
      </c>
    </row>
    <row r="223" spans="1:11" ht="50.1" customHeight="1" x14ac:dyDescent="0.25">
      <c r="A223" s="69"/>
      <c r="B223" s="81"/>
      <c r="C223" s="74"/>
      <c r="D223" s="74"/>
      <c r="E223" s="61" t="s">
        <v>359</v>
      </c>
      <c r="G223" s="53">
        <v>1</v>
      </c>
      <c r="H223" s="53">
        <v>1</v>
      </c>
      <c r="I223" s="53">
        <v>2</v>
      </c>
      <c r="J223" s="62">
        <v>0</v>
      </c>
      <c r="K223" s="62" t="s">
        <v>87</v>
      </c>
    </row>
    <row r="224" spans="1:11" ht="50.1" customHeight="1" x14ac:dyDescent="0.25">
      <c r="A224" s="69"/>
      <c r="B224" s="81"/>
      <c r="C224" s="74"/>
      <c r="D224" s="74"/>
      <c r="E224" s="61" t="s">
        <v>360</v>
      </c>
      <c r="G224" s="53">
        <v>1</v>
      </c>
      <c r="H224" s="53">
        <v>1</v>
      </c>
      <c r="I224" s="53">
        <v>1</v>
      </c>
      <c r="J224" s="62">
        <v>1</v>
      </c>
      <c r="K224" s="62" t="s">
        <v>361</v>
      </c>
    </row>
    <row r="225" spans="1:11" ht="50.1" customHeight="1" x14ac:dyDescent="0.25">
      <c r="A225" s="69"/>
      <c r="B225" s="81"/>
      <c r="C225" s="74"/>
      <c r="D225" s="74"/>
      <c r="E225" s="61" t="s">
        <v>362</v>
      </c>
      <c r="G225" s="53">
        <v>1</v>
      </c>
      <c r="H225" s="53">
        <v>3</v>
      </c>
      <c r="I225" s="53">
        <v>3</v>
      </c>
      <c r="J225" s="62">
        <v>2</v>
      </c>
      <c r="K225" s="62" t="s">
        <v>363</v>
      </c>
    </row>
    <row r="226" spans="1:11" ht="50.1" customHeight="1" x14ac:dyDescent="0.25">
      <c r="A226" s="69"/>
      <c r="B226" s="81"/>
      <c r="C226" s="74"/>
      <c r="D226" s="74"/>
      <c r="E226" s="61" t="s">
        <v>364</v>
      </c>
      <c r="G226" s="53">
        <v>1</v>
      </c>
      <c r="H226" s="53">
        <v>2</v>
      </c>
      <c r="I226" s="53">
        <v>3</v>
      </c>
      <c r="J226" s="62">
        <v>1</v>
      </c>
      <c r="K226" s="62" t="s">
        <v>365</v>
      </c>
    </row>
    <row r="227" spans="1:11" ht="50.1" customHeight="1" x14ac:dyDescent="0.25">
      <c r="A227" s="70"/>
      <c r="B227" s="71"/>
      <c r="C227" s="72"/>
      <c r="D227" s="72"/>
      <c r="E227" s="63" t="s">
        <v>366</v>
      </c>
      <c r="F227" s="60"/>
      <c r="G227" s="60">
        <v>0</v>
      </c>
      <c r="H227" s="60">
        <v>1</v>
      </c>
      <c r="I227" s="60">
        <v>1</v>
      </c>
      <c r="J227" s="64">
        <v>0</v>
      </c>
      <c r="K227" s="64" t="s">
        <v>367</v>
      </c>
    </row>
  </sheetData>
  <dataValidations disablePrompts="1" count="1">
    <dataValidation type="list" allowBlank="1" showInputMessage="1" showErrorMessage="1" sqref="F2:F218" xr:uid="{00000000-0002-0000-0000-000000000000}">
      <formula1>$J$222:$J$227</formula1>
    </dataValidation>
  </dataValidations>
  <pageMargins left="0.7" right="0.7" top="0.75" bottom="0.75" header="0.3" footer="0.3"/>
  <pageSetup paperSize="9" scale="64" fitToHeight="0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DE435"/>
  <sheetViews>
    <sheetView zoomScale="85" zoomScaleNormal="85" workbookViewId="0">
      <pane xSplit="1" ySplit="13" topLeftCell="B14" activePane="bottomRight" state="frozen"/>
      <selection activeCell="I4" sqref="I4"/>
      <selection pane="topRight" activeCell="I4" sqref="I4"/>
      <selection pane="bottomLeft" activeCell="I4" sqref="I4"/>
      <selection pane="bottomRight" activeCell="G44" sqref="G44"/>
    </sheetView>
  </sheetViews>
  <sheetFormatPr defaultRowHeight="15" x14ac:dyDescent="0.25"/>
  <cols>
    <col min="1" max="1" width="2.7109375" style="3" customWidth="1"/>
    <col min="2" max="2" width="57.5703125" customWidth="1"/>
    <col min="3" max="3" width="22.42578125" customWidth="1"/>
    <col min="4" max="4" width="10.7109375" style="1" customWidth="1"/>
    <col min="5" max="5" width="14.42578125" style="1" customWidth="1"/>
    <col min="6" max="7" width="10.7109375" customWidth="1"/>
    <col min="8" max="8" width="18.5703125" customWidth="1"/>
    <col min="9" max="9" width="10.7109375" customWidth="1"/>
    <col min="10" max="10" width="33.85546875" customWidth="1"/>
    <col min="11" max="12" width="10.7109375" customWidth="1"/>
    <col min="13" max="13" width="18.85546875" style="58" customWidth="1"/>
    <col min="14" max="18" width="10.7109375" style="3" customWidth="1"/>
    <col min="19" max="19" width="13.28515625" customWidth="1"/>
    <col min="20" max="21" width="18.28515625" customWidth="1"/>
    <col min="22" max="24" width="10.7109375" customWidth="1"/>
    <col min="26" max="26" width="9.140625" customWidth="1"/>
    <col min="27" max="27" width="14.85546875" customWidth="1"/>
    <col min="28" max="31" width="9.140625" customWidth="1"/>
    <col min="32" max="32" width="3.28515625" customWidth="1"/>
    <col min="33" max="37" width="9.140625" customWidth="1"/>
    <col min="38" max="38" width="2.5703125" customWidth="1"/>
    <col min="39" max="43" width="9.140625" customWidth="1"/>
    <col min="44" max="44" width="2.85546875" customWidth="1"/>
    <col min="45" max="49" width="9.140625" customWidth="1"/>
    <col min="50" max="50" width="3.42578125" customWidth="1"/>
    <col min="51" max="55" width="9.140625" customWidth="1"/>
    <col min="56" max="56" width="3.7109375" customWidth="1"/>
    <col min="57" max="61" width="9.140625" customWidth="1"/>
    <col min="62" max="62" width="2.85546875" customWidth="1"/>
    <col min="63" max="67" width="9.140625" customWidth="1"/>
    <col min="68" max="68" width="4.7109375" customWidth="1"/>
    <col min="69" max="73" width="9.140625" customWidth="1"/>
    <col min="74" max="74" width="3.42578125" customWidth="1"/>
    <col min="75" max="86" width="9.140625" customWidth="1"/>
    <col min="87" max="87" width="13" customWidth="1"/>
    <col min="93" max="93" width="18.140625" customWidth="1"/>
    <col min="99" max="99" width="30.5703125" customWidth="1"/>
    <col min="105" max="105" width="19.42578125" customWidth="1"/>
  </cols>
  <sheetData>
    <row r="1" spans="1:109" ht="17.45" customHeight="1" x14ac:dyDescent="0.25">
      <c r="B1" s="139" t="s">
        <v>368</v>
      </c>
      <c r="C1" s="139">
        <v>6449</v>
      </c>
      <c r="D1" s="199" t="s">
        <v>0</v>
      </c>
      <c r="E1" s="200"/>
      <c r="F1" s="200"/>
      <c r="G1" s="200"/>
      <c r="H1" s="200"/>
      <c r="I1" s="169"/>
      <c r="J1" s="142" t="s">
        <v>369</v>
      </c>
      <c r="K1" s="140" t="s">
        <v>16</v>
      </c>
      <c r="L1" s="140" t="s">
        <v>17</v>
      </c>
      <c r="M1" s="140" t="s">
        <v>18</v>
      </c>
      <c r="N1" s="140" t="s">
        <v>19</v>
      </c>
      <c r="O1" s="140" t="s">
        <v>20</v>
      </c>
      <c r="P1" s="140" t="s">
        <v>21</v>
      </c>
      <c r="Q1" s="140" t="s">
        <v>22</v>
      </c>
      <c r="R1" s="140" t="s">
        <v>23</v>
      </c>
      <c r="S1" s="140" t="s">
        <v>24</v>
      </c>
      <c r="U1" s="98"/>
      <c r="Z1" s="183"/>
      <c r="AA1" s="181"/>
      <c r="AB1" s="181"/>
      <c r="AC1" s="181"/>
      <c r="AD1" s="181"/>
      <c r="AE1" s="181"/>
      <c r="AF1" s="181"/>
      <c r="AG1" s="181"/>
      <c r="AH1" s="181"/>
      <c r="AI1" s="181"/>
      <c r="AJ1" s="181"/>
    </row>
    <row r="2" spans="1:109" ht="17.45" customHeight="1" x14ac:dyDescent="0.25">
      <c r="B2" s="139" t="s">
        <v>7</v>
      </c>
      <c r="C2" s="139" t="s">
        <v>370</v>
      </c>
      <c r="D2" s="170"/>
      <c r="E2" s="183"/>
      <c r="F2" s="181"/>
      <c r="G2" s="181"/>
      <c r="H2" s="181"/>
      <c r="I2" s="162"/>
      <c r="J2" s="129" t="s">
        <v>371</v>
      </c>
      <c r="K2" s="130">
        <v>4.7</v>
      </c>
      <c r="L2" s="130">
        <v>4.7</v>
      </c>
      <c r="M2" s="130">
        <v>5.2</v>
      </c>
      <c r="N2" s="130">
        <v>6.8</v>
      </c>
      <c r="O2" s="130">
        <v>8.4</v>
      </c>
      <c r="P2" s="130">
        <v>10.8</v>
      </c>
      <c r="Q2" s="130">
        <v>14.8</v>
      </c>
      <c r="R2" s="130">
        <v>18</v>
      </c>
      <c r="S2" s="130">
        <v>21.5</v>
      </c>
      <c r="U2" s="137"/>
    </row>
    <row r="3" spans="1:109" ht="17.45" customHeight="1" x14ac:dyDescent="0.25">
      <c r="B3" s="139" t="s">
        <v>5</v>
      </c>
      <c r="C3" s="139" t="s">
        <v>372</v>
      </c>
      <c r="D3" s="170"/>
      <c r="E3" s="183"/>
      <c r="F3" s="181"/>
      <c r="G3" s="181"/>
      <c r="H3" s="181"/>
      <c r="I3" s="162"/>
      <c r="J3" s="129" t="s">
        <v>373</v>
      </c>
      <c r="K3" s="130">
        <v>0.8</v>
      </c>
      <c r="L3" s="130">
        <v>1</v>
      </c>
      <c r="M3" s="130">
        <v>1.6</v>
      </c>
      <c r="N3" s="130">
        <v>1.6</v>
      </c>
      <c r="O3" s="130">
        <v>2</v>
      </c>
      <c r="P3" s="130">
        <v>2.5</v>
      </c>
      <c r="Q3" s="130">
        <v>3</v>
      </c>
      <c r="R3" s="130">
        <v>3</v>
      </c>
      <c r="S3" s="130">
        <v>4</v>
      </c>
      <c r="U3" s="137"/>
      <c r="AA3" s="186">
        <v>1</v>
      </c>
      <c r="AB3" s="181"/>
      <c r="AC3" s="181"/>
      <c r="AD3" s="181"/>
      <c r="AE3" s="181"/>
      <c r="AG3" s="186">
        <v>2</v>
      </c>
      <c r="AH3" s="181"/>
      <c r="AI3" s="181"/>
      <c r="AJ3" s="181"/>
      <c r="AK3" s="181"/>
      <c r="AM3" s="186">
        <v>3</v>
      </c>
      <c r="AN3" s="181"/>
      <c r="AO3" s="181"/>
      <c r="AP3" s="181"/>
      <c r="AQ3" s="181"/>
      <c r="AS3" s="186">
        <v>4</v>
      </c>
      <c r="AT3" s="181"/>
      <c r="AU3" s="181"/>
      <c r="AV3" s="181"/>
      <c r="AW3" s="181"/>
      <c r="AY3" s="186">
        <v>5</v>
      </c>
      <c r="AZ3" s="181"/>
      <c r="BA3" s="181"/>
      <c r="BB3" s="181"/>
      <c r="BC3" s="181"/>
      <c r="BE3" s="186">
        <v>6</v>
      </c>
      <c r="BF3" s="181"/>
      <c r="BG3" s="181"/>
      <c r="BH3" s="181"/>
      <c r="BI3" s="181"/>
      <c r="BK3" s="186">
        <v>7</v>
      </c>
      <c r="BL3" s="181"/>
      <c r="BM3" s="181"/>
      <c r="BN3" s="181"/>
      <c r="BO3" s="181"/>
      <c r="BQ3" s="186">
        <v>8</v>
      </c>
      <c r="BR3" s="181"/>
      <c r="BS3" s="181"/>
      <c r="BT3" s="181"/>
      <c r="BU3" s="181"/>
      <c r="BW3" s="186">
        <v>9</v>
      </c>
      <c r="BX3" s="181"/>
      <c r="BY3" s="181"/>
      <c r="BZ3" s="181"/>
      <c r="CA3" s="181"/>
      <c r="CC3" s="186" t="s">
        <v>374</v>
      </c>
      <c r="CD3" s="181"/>
      <c r="CE3" s="181"/>
      <c r="CF3" s="181"/>
      <c r="CG3" s="181"/>
      <c r="CI3" s="186">
        <v>1</v>
      </c>
      <c r="CJ3" s="181"/>
      <c r="CK3" s="181"/>
      <c r="CL3" s="181"/>
      <c r="CM3" s="181"/>
    </row>
    <row r="4" spans="1:109" ht="17.45" customHeight="1" x14ac:dyDescent="0.25">
      <c r="B4" s="139" t="s">
        <v>8</v>
      </c>
      <c r="C4" s="139" t="s">
        <v>829</v>
      </c>
      <c r="D4" s="170"/>
      <c r="E4" s="183"/>
      <c r="F4" s="181"/>
      <c r="G4" s="181"/>
      <c r="H4" s="181"/>
      <c r="I4" s="162"/>
      <c r="J4" s="129" t="s">
        <v>375</v>
      </c>
      <c r="K4" s="130">
        <v>0.9</v>
      </c>
      <c r="L4" s="130">
        <v>1.2</v>
      </c>
      <c r="M4" s="130">
        <v>1.6</v>
      </c>
      <c r="N4" s="130">
        <v>2</v>
      </c>
      <c r="O4" s="130">
        <v>2.2000000000000002</v>
      </c>
      <c r="P4" s="130">
        <v>2.5</v>
      </c>
      <c r="Q4" s="130">
        <v>3.5</v>
      </c>
      <c r="R4" s="130">
        <v>4</v>
      </c>
      <c r="S4" s="130">
        <v>5</v>
      </c>
      <c r="U4" s="137"/>
      <c r="AA4" s="181"/>
      <c r="AB4" s="181"/>
      <c r="AC4" s="181"/>
      <c r="AD4" s="181"/>
      <c r="AE4" s="181"/>
      <c r="AG4" s="181"/>
      <c r="AH4" s="181"/>
      <c r="AI4" s="181"/>
      <c r="AJ4" s="181"/>
      <c r="AK4" s="181"/>
      <c r="AM4" s="181"/>
      <c r="AN4" s="181"/>
      <c r="AO4" s="181"/>
      <c r="AP4" s="181"/>
      <c r="AQ4" s="181"/>
      <c r="AS4" s="181"/>
      <c r="AT4" s="181"/>
      <c r="AU4" s="181"/>
      <c r="AV4" s="181"/>
      <c r="AW4" s="181"/>
      <c r="AY4" s="181"/>
      <c r="AZ4" s="181"/>
      <c r="BA4" s="181"/>
      <c r="BB4" s="181"/>
      <c r="BC4" s="181"/>
      <c r="BE4" s="181"/>
      <c r="BF4" s="181"/>
      <c r="BG4" s="181"/>
      <c r="BH4" s="181"/>
      <c r="BI4" s="181"/>
      <c r="BK4" s="181"/>
      <c r="BL4" s="181"/>
      <c r="BM4" s="181"/>
      <c r="BN4" s="181"/>
      <c r="BO4" s="181"/>
      <c r="BQ4" s="181"/>
      <c r="BR4" s="181"/>
      <c r="BS4" s="181"/>
      <c r="BT4" s="181"/>
      <c r="BU4" s="181"/>
      <c r="BW4" s="181"/>
      <c r="BX4" s="181"/>
      <c r="BY4" s="181"/>
      <c r="BZ4" s="181"/>
      <c r="CA4" s="181"/>
      <c r="CC4" s="181"/>
      <c r="CD4" s="181"/>
      <c r="CE4" s="181"/>
      <c r="CF4" s="181"/>
      <c r="CG4" s="181"/>
      <c r="CI4" s="181"/>
      <c r="CJ4" s="181"/>
      <c r="CK4" s="181"/>
      <c r="CL4" s="181"/>
      <c r="CM4" s="181"/>
    </row>
    <row r="5" spans="1:109" ht="17.45" customHeight="1" x14ac:dyDescent="0.25">
      <c r="B5" s="139" t="s">
        <v>9</v>
      </c>
      <c r="C5" s="139" t="s">
        <v>829</v>
      </c>
      <c r="D5" s="171"/>
      <c r="E5" s="167"/>
      <c r="F5" s="167"/>
      <c r="G5" s="167"/>
      <c r="H5" s="167"/>
      <c r="I5" s="168"/>
      <c r="J5" s="130" t="s">
        <v>376</v>
      </c>
      <c r="K5" s="130">
        <v>5</v>
      </c>
      <c r="L5" s="131">
        <v>5</v>
      </c>
      <c r="M5" s="131">
        <v>5</v>
      </c>
      <c r="N5" s="131">
        <v>5</v>
      </c>
      <c r="O5" s="131">
        <v>5</v>
      </c>
      <c r="P5" s="131">
        <v>5</v>
      </c>
      <c r="Q5" s="131">
        <v>5</v>
      </c>
      <c r="R5" s="131">
        <v>5</v>
      </c>
      <c r="S5" s="131">
        <v>5</v>
      </c>
      <c r="U5" s="137"/>
      <c r="AB5" t="s">
        <v>377</v>
      </c>
      <c r="AC5" t="s">
        <v>378</v>
      </c>
      <c r="AD5" t="s">
        <v>379</v>
      </c>
      <c r="AE5" t="s">
        <v>380</v>
      </c>
      <c r="AH5" t="s">
        <v>377</v>
      </c>
      <c r="AI5" t="s">
        <v>378</v>
      </c>
      <c r="AJ5" t="s">
        <v>379</v>
      </c>
      <c r="AK5" t="s">
        <v>380</v>
      </c>
      <c r="AN5" t="s">
        <v>377</v>
      </c>
      <c r="AO5" t="s">
        <v>378</v>
      </c>
      <c r="AP5" t="s">
        <v>379</v>
      </c>
      <c r="AQ5" t="s">
        <v>380</v>
      </c>
      <c r="AT5" t="s">
        <v>377</v>
      </c>
      <c r="AU5" t="s">
        <v>378</v>
      </c>
      <c r="AV5" t="s">
        <v>379</v>
      </c>
      <c r="AW5" t="s">
        <v>380</v>
      </c>
      <c r="AZ5" t="s">
        <v>377</v>
      </c>
      <c r="BA5" t="s">
        <v>378</v>
      </c>
      <c r="BB5" t="s">
        <v>379</v>
      </c>
      <c r="BC5" t="s">
        <v>380</v>
      </c>
      <c r="BF5" t="s">
        <v>377</v>
      </c>
      <c r="BG5" t="s">
        <v>378</v>
      </c>
      <c r="BH5" t="s">
        <v>379</v>
      </c>
      <c r="BI5" t="s">
        <v>380</v>
      </c>
      <c r="BL5" t="s">
        <v>377</v>
      </c>
      <c r="BM5" t="s">
        <v>378</v>
      </c>
      <c r="BN5" t="s">
        <v>379</v>
      </c>
      <c r="BO5" t="s">
        <v>380</v>
      </c>
      <c r="BR5" t="s">
        <v>377</v>
      </c>
      <c r="BS5" t="s">
        <v>378</v>
      </c>
      <c r="BT5" t="s">
        <v>379</v>
      </c>
      <c r="BU5" t="s">
        <v>380</v>
      </c>
      <c r="BX5" t="s">
        <v>377</v>
      </c>
      <c r="BY5" t="s">
        <v>378</v>
      </c>
      <c r="BZ5" t="s">
        <v>379</v>
      </c>
      <c r="CA5" t="s">
        <v>380</v>
      </c>
      <c r="CD5" t="s">
        <v>377</v>
      </c>
      <c r="CE5" t="s">
        <v>378</v>
      </c>
      <c r="CF5" t="s">
        <v>379</v>
      </c>
      <c r="CG5" t="s">
        <v>380</v>
      </c>
      <c r="CJ5" t="s">
        <v>377</v>
      </c>
      <c r="CK5" t="s">
        <v>378</v>
      </c>
      <c r="CL5" t="s">
        <v>379</v>
      </c>
      <c r="CM5" t="s">
        <v>380</v>
      </c>
      <c r="CP5" t="s">
        <v>377</v>
      </c>
      <c r="CQ5" t="s">
        <v>378</v>
      </c>
      <c r="CR5" t="s">
        <v>379</v>
      </c>
      <c r="CS5" t="s">
        <v>380</v>
      </c>
      <c r="CV5" t="s">
        <v>377</v>
      </c>
      <c r="CW5" t="s">
        <v>378</v>
      </c>
      <c r="CX5" t="s">
        <v>379</v>
      </c>
      <c r="CY5" t="s">
        <v>380</v>
      </c>
      <c r="DB5" t="s">
        <v>377</v>
      </c>
      <c r="DC5" t="s">
        <v>378</v>
      </c>
      <c r="DD5" t="s">
        <v>379</v>
      </c>
      <c r="DE5" t="s">
        <v>380</v>
      </c>
    </row>
    <row r="6" spans="1:109" ht="17.45" customHeight="1" x14ac:dyDescent="0.25">
      <c r="B6" s="139" t="s">
        <v>6</v>
      </c>
      <c r="C6" s="139" t="s">
        <v>381</v>
      </c>
      <c r="D6" s="185" t="s">
        <v>382</v>
      </c>
      <c r="E6" s="165"/>
      <c r="F6" s="165"/>
      <c r="G6" s="165"/>
      <c r="H6" s="165"/>
      <c r="I6" s="164"/>
      <c r="J6" s="140" t="s">
        <v>3</v>
      </c>
      <c r="K6" s="141" t="s">
        <v>383</v>
      </c>
      <c r="L6" s="102"/>
      <c r="M6" s="103" t="s">
        <v>384</v>
      </c>
      <c r="N6" s="94"/>
      <c r="O6" s="94"/>
      <c r="P6" s="94"/>
      <c r="Q6" s="104" t="s">
        <v>385</v>
      </c>
      <c r="R6" s="94"/>
      <c r="S6" s="105"/>
      <c r="T6" s="106"/>
      <c r="AA6" s="188" t="s">
        <v>386</v>
      </c>
      <c r="AB6" s="181"/>
      <c r="AC6" s="181"/>
      <c r="AD6" s="181"/>
      <c r="AE6" s="181"/>
      <c r="AF6" s="153"/>
      <c r="AG6" s="188" t="s">
        <v>387</v>
      </c>
      <c r="AH6" s="181"/>
      <c r="AI6" s="181"/>
      <c r="AJ6" s="181"/>
      <c r="AK6" s="181"/>
      <c r="AL6" s="153"/>
      <c r="AM6" s="188" t="s">
        <v>388</v>
      </c>
      <c r="AN6" s="181"/>
      <c r="AO6" s="181"/>
      <c r="AP6" s="181"/>
      <c r="AQ6" s="181"/>
      <c r="AR6" s="153"/>
      <c r="AS6" s="188" t="s">
        <v>389</v>
      </c>
      <c r="AT6" s="181"/>
      <c r="AU6" s="181"/>
      <c r="AV6" s="181"/>
      <c r="AW6" s="181"/>
      <c r="AX6" s="153"/>
      <c r="AY6" s="188" t="s">
        <v>390</v>
      </c>
      <c r="AZ6" s="181"/>
      <c r="BA6" s="181"/>
      <c r="BB6" s="181"/>
      <c r="BC6" s="181"/>
      <c r="BD6" s="153"/>
      <c r="BE6" s="188" t="s">
        <v>391</v>
      </c>
      <c r="BF6" s="181"/>
      <c r="BG6" s="181"/>
      <c r="BH6" s="181"/>
      <c r="BI6" s="181"/>
      <c r="BJ6" s="153"/>
      <c r="BK6" s="188" t="s">
        <v>392</v>
      </c>
      <c r="BL6" s="181"/>
      <c r="BM6" s="181"/>
      <c r="BN6" s="181"/>
      <c r="BO6" s="181"/>
      <c r="BP6" s="153"/>
      <c r="BQ6" s="188" t="s">
        <v>393</v>
      </c>
      <c r="BR6" s="181"/>
      <c r="BS6" s="181"/>
      <c r="BT6" s="181"/>
      <c r="BU6" s="181"/>
      <c r="BV6" s="153"/>
      <c r="BW6" s="188" t="s">
        <v>394</v>
      </c>
      <c r="BX6" s="181"/>
      <c r="BY6" s="181"/>
      <c r="BZ6" s="181"/>
      <c r="CA6" s="181"/>
      <c r="CC6" s="188" t="s">
        <v>395</v>
      </c>
      <c r="CD6" s="181"/>
      <c r="CE6" s="181"/>
      <c r="CF6" s="181"/>
      <c r="CG6" s="181"/>
      <c r="CI6" s="188" t="s">
        <v>396</v>
      </c>
      <c r="CJ6" s="181"/>
      <c r="CK6" s="181"/>
      <c r="CL6" s="181"/>
      <c r="CM6" s="181"/>
      <c r="CO6" s="188" t="s">
        <v>53</v>
      </c>
      <c r="CP6" s="181"/>
      <c r="CQ6" s="181"/>
      <c r="CR6" s="181"/>
      <c r="CS6" s="181"/>
      <c r="CU6" s="188" t="s">
        <v>28</v>
      </c>
      <c r="CV6" s="181"/>
      <c r="CW6" s="181"/>
      <c r="CX6" s="181"/>
      <c r="CY6" s="181"/>
      <c r="DA6" s="188" t="s">
        <v>53</v>
      </c>
      <c r="DB6" s="181"/>
      <c r="DC6" s="181"/>
      <c r="DD6" s="181"/>
      <c r="DE6" s="181"/>
    </row>
    <row r="7" spans="1:109" ht="17.45" hidden="1" customHeight="1" x14ac:dyDescent="0.25">
      <c r="B7" s="97"/>
      <c r="C7" s="97"/>
      <c r="D7" s="3"/>
      <c r="E7" s="3"/>
      <c r="F7" s="3"/>
      <c r="G7" s="3"/>
      <c r="H7" s="3"/>
      <c r="I7" s="100">
        <v>1</v>
      </c>
      <c r="J7" s="197" t="s">
        <v>397</v>
      </c>
      <c r="K7" s="181"/>
      <c r="L7" s="181"/>
      <c r="M7" s="198"/>
      <c r="N7" s="186"/>
      <c r="O7" s="186"/>
      <c r="P7" s="186"/>
      <c r="Q7" s="186"/>
      <c r="R7" s="186"/>
      <c r="S7" s="181"/>
      <c r="T7" s="181"/>
      <c r="U7" s="101"/>
    </row>
    <row r="8" spans="1:109" ht="17.45" hidden="1" customHeight="1" x14ac:dyDescent="0.25">
      <c r="B8" s="99"/>
      <c r="D8" s="3"/>
      <c r="E8" s="3"/>
      <c r="F8" s="3"/>
      <c r="G8" s="3"/>
      <c r="H8" s="3"/>
      <c r="I8" s="100">
        <v>1.1000000000000001</v>
      </c>
      <c r="J8" s="197" t="s">
        <v>398</v>
      </c>
      <c r="K8" s="181"/>
      <c r="L8" s="181"/>
      <c r="M8" s="198"/>
      <c r="N8" s="186"/>
      <c r="O8" s="186"/>
      <c r="P8" s="186"/>
      <c r="Q8" s="186"/>
      <c r="R8" s="186"/>
      <c r="S8" s="181"/>
      <c r="T8" s="181"/>
      <c r="U8" s="101"/>
    </row>
    <row r="9" spans="1:109" ht="17.45" hidden="1" customHeight="1" x14ac:dyDescent="0.25">
      <c r="B9" s="99"/>
      <c r="D9" s="3"/>
      <c r="E9" s="3"/>
      <c r="F9" s="3"/>
      <c r="G9" s="3"/>
      <c r="H9" s="3"/>
      <c r="I9" s="100">
        <v>1.2</v>
      </c>
      <c r="J9" s="101" t="s">
        <v>399</v>
      </c>
      <c r="K9" s="98"/>
      <c r="L9" s="98"/>
      <c r="M9" s="98"/>
      <c r="N9" s="84"/>
      <c r="R9" s="93"/>
    </row>
    <row r="10" spans="1:109" ht="17.45" hidden="1" customHeight="1" x14ac:dyDescent="0.25">
      <c r="B10" s="99"/>
      <c r="D10" s="3"/>
      <c r="E10" s="3"/>
      <c r="F10" s="3"/>
      <c r="G10" s="3"/>
      <c r="H10" s="3"/>
      <c r="I10" s="100">
        <v>1.2</v>
      </c>
      <c r="J10" s="101" t="s">
        <v>399</v>
      </c>
      <c r="K10" s="98"/>
      <c r="L10" s="98"/>
      <c r="M10" s="98"/>
      <c r="N10" s="84"/>
      <c r="R10" s="93"/>
    </row>
    <row r="11" spans="1:109" ht="17.45" hidden="1" customHeight="1" x14ac:dyDescent="0.25">
      <c r="B11" s="99"/>
      <c r="D11" s="3"/>
      <c r="E11" s="3"/>
      <c r="F11" s="3"/>
      <c r="G11" s="3"/>
      <c r="H11" s="3"/>
      <c r="I11" s="100">
        <v>1.3</v>
      </c>
      <c r="J11" s="101" t="s">
        <v>400</v>
      </c>
      <c r="K11" s="98"/>
      <c r="L11" s="98"/>
      <c r="M11" s="98"/>
      <c r="N11" s="84"/>
      <c r="R11" s="93"/>
    </row>
    <row r="12" spans="1:109" ht="17.45" hidden="1" customHeight="1" x14ac:dyDescent="0.25">
      <c r="B12" s="99"/>
      <c r="D12" s="3"/>
      <c r="E12" s="3"/>
      <c r="F12" s="3"/>
      <c r="G12" s="3"/>
      <c r="H12" s="3"/>
      <c r="I12" s="3"/>
      <c r="J12" s="98"/>
      <c r="K12" s="98"/>
      <c r="L12" s="98"/>
      <c r="M12" s="98"/>
      <c r="N12" s="84"/>
      <c r="R12" s="93"/>
      <c r="CN12" s="59"/>
      <c r="CO12" s="187" t="s">
        <v>71</v>
      </c>
      <c r="CP12" s="181"/>
      <c r="CQ12" s="181"/>
      <c r="CR12" s="181"/>
      <c r="CS12" s="181"/>
      <c r="CT12" s="59"/>
      <c r="CU12" s="187" t="s">
        <v>71</v>
      </c>
      <c r="CV12" s="181"/>
      <c r="CW12" s="181"/>
      <c r="CX12" s="181"/>
      <c r="CY12" s="181"/>
      <c r="CZ12" s="59"/>
      <c r="DA12" s="187" t="s">
        <v>71</v>
      </c>
      <c r="DB12" s="181"/>
      <c r="DC12" s="181"/>
      <c r="DD12" s="181"/>
      <c r="DE12" s="181"/>
    </row>
    <row r="13" spans="1:109" s="59" customFormat="1" ht="45.75" customHeight="1" x14ac:dyDescent="0.25">
      <c r="B13" s="80" t="s">
        <v>401</v>
      </c>
      <c r="C13" s="80" t="s">
        <v>402</v>
      </c>
      <c r="D13" s="80" t="s">
        <v>69</v>
      </c>
      <c r="E13" s="82" t="s">
        <v>403</v>
      </c>
      <c r="F13" s="80" t="s">
        <v>404</v>
      </c>
      <c r="G13" s="80" t="s">
        <v>405</v>
      </c>
      <c r="H13" s="80" t="s">
        <v>406</v>
      </c>
      <c r="I13" s="80" t="s">
        <v>407</v>
      </c>
      <c r="J13" s="82" t="s">
        <v>408</v>
      </c>
      <c r="K13" s="82" t="s">
        <v>409</v>
      </c>
      <c r="L13" s="82" t="s">
        <v>410</v>
      </c>
      <c r="M13" s="82" t="s">
        <v>411</v>
      </c>
      <c r="N13" s="82" t="s">
        <v>412</v>
      </c>
      <c r="O13" s="80" t="s">
        <v>72</v>
      </c>
      <c r="P13" s="80" t="s">
        <v>15</v>
      </c>
      <c r="Q13" s="82" t="s">
        <v>73</v>
      </c>
      <c r="R13" s="82" t="s">
        <v>74</v>
      </c>
      <c r="S13" s="195" t="s">
        <v>68</v>
      </c>
      <c r="T13" s="167"/>
      <c r="U13" s="82"/>
      <c r="AB13" s="80" t="s">
        <v>72</v>
      </c>
      <c r="AC13" s="80" t="s">
        <v>15</v>
      </c>
      <c r="AD13" s="82" t="s">
        <v>73</v>
      </c>
      <c r="AE13" s="82" t="s">
        <v>74</v>
      </c>
      <c r="AF13" s="82"/>
      <c r="AH13" s="80" t="s">
        <v>72</v>
      </c>
      <c r="AI13" s="80" t="s">
        <v>15</v>
      </c>
      <c r="AJ13" s="82" t="s">
        <v>73</v>
      </c>
      <c r="AK13" s="82" t="s">
        <v>74</v>
      </c>
      <c r="AL13" s="82"/>
      <c r="AN13" s="80" t="s">
        <v>72</v>
      </c>
      <c r="AO13" s="80" t="s">
        <v>15</v>
      </c>
      <c r="AP13" s="82" t="s">
        <v>73</v>
      </c>
      <c r="AQ13" s="82" t="s">
        <v>74</v>
      </c>
      <c r="AR13" s="82"/>
      <c r="AT13" s="80" t="s">
        <v>72</v>
      </c>
      <c r="AU13" s="80" t="s">
        <v>15</v>
      </c>
      <c r="AV13" s="82" t="s">
        <v>73</v>
      </c>
      <c r="AW13" s="82" t="s">
        <v>74</v>
      </c>
      <c r="AX13" s="82"/>
      <c r="AZ13" s="80" t="s">
        <v>72</v>
      </c>
      <c r="BA13" s="80" t="s">
        <v>15</v>
      </c>
      <c r="BB13" s="82" t="s">
        <v>73</v>
      </c>
      <c r="BC13" s="82" t="s">
        <v>74</v>
      </c>
      <c r="BD13" s="82"/>
      <c r="BF13" s="80" t="s">
        <v>72</v>
      </c>
      <c r="BG13" s="80" t="s">
        <v>15</v>
      </c>
      <c r="BH13" s="82" t="s">
        <v>73</v>
      </c>
      <c r="BI13" s="82" t="s">
        <v>74</v>
      </c>
      <c r="BJ13" s="82"/>
      <c r="BL13" s="80" t="s">
        <v>72</v>
      </c>
      <c r="BM13" s="80" t="s">
        <v>15</v>
      </c>
      <c r="BN13" s="82" t="s">
        <v>73</v>
      </c>
      <c r="BO13" s="82" t="s">
        <v>74</v>
      </c>
      <c r="BP13" s="82"/>
      <c r="BR13" s="80" t="s">
        <v>72</v>
      </c>
      <c r="BS13" s="80" t="s">
        <v>15</v>
      </c>
      <c r="BT13" s="82" t="s">
        <v>73</v>
      </c>
      <c r="BU13" s="82" t="s">
        <v>74</v>
      </c>
      <c r="BV13" s="82"/>
      <c r="BX13" s="80" t="s">
        <v>72</v>
      </c>
      <c r="BY13" s="80" t="s">
        <v>15</v>
      </c>
      <c r="BZ13" s="82" t="s">
        <v>73</v>
      </c>
      <c r="CA13" s="82" t="s">
        <v>74</v>
      </c>
      <c r="CD13" s="80" t="s">
        <v>72</v>
      </c>
      <c r="CE13" s="80" t="s">
        <v>15</v>
      </c>
      <c r="CF13" s="82" t="s">
        <v>73</v>
      </c>
      <c r="CG13" s="82" t="s">
        <v>74</v>
      </c>
      <c r="CI13" s="187" t="s">
        <v>71</v>
      </c>
      <c r="CJ13" s="184"/>
      <c r="CK13" s="184"/>
      <c r="CL13" s="184"/>
      <c r="CM13" s="184"/>
      <c r="CO13" s="184" t="s">
        <v>71</v>
      </c>
      <c r="CP13" s="184"/>
      <c r="CQ13" s="184"/>
      <c r="CR13" s="184"/>
      <c r="CS13" s="184"/>
      <c r="CU13" s="184" t="s">
        <v>70</v>
      </c>
      <c r="CV13" s="184"/>
      <c r="CW13" s="184"/>
      <c r="CX13" s="184"/>
      <c r="CY13" s="184"/>
      <c r="DA13" s="184" t="s">
        <v>70</v>
      </c>
      <c r="DB13" s="184"/>
      <c r="DC13" s="184"/>
      <c r="DD13" s="184"/>
      <c r="DE13" s="184"/>
    </row>
    <row r="14" spans="1:109" x14ac:dyDescent="0.25">
      <c r="A14" s="59"/>
      <c r="B14" s="132" t="s">
        <v>386</v>
      </c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  <c r="S14" s="122"/>
      <c r="T14" s="124"/>
      <c r="U14" s="138"/>
      <c r="AA14" t="s">
        <v>16</v>
      </c>
      <c r="AB14">
        <f t="shared" ref="AB14:AB22" si="0">SUMIF($F$15:$F$34,AA14,$O$15:$O$34)</f>
        <v>0</v>
      </c>
      <c r="AC14">
        <f t="shared" ref="AC14:AC22" si="1">SUMIF($F$15:$F$34,AA14,$P$15:$P$34)</f>
        <v>0</v>
      </c>
      <c r="AD14">
        <f t="shared" ref="AD14:AD22" si="2">SUMIF($F$15:$F$34,AA14,$Q$15:$Q$34)</f>
        <v>0</v>
      </c>
      <c r="AE14">
        <f t="shared" ref="AE14:AE22" si="3">SUMIF($F$15:$F$34,AA14,$R$15:$R$34)</f>
        <v>0</v>
      </c>
      <c r="AG14" t="s">
        <v>16</v>
      </c>
      <c r="AH14">
        <f>SUMIF($F$37:$F$123,AG14,$O$37:$O$123)</f>
        <v>44</v>
      </c>
      <c r="AI14">
        <f t="shared" ref="AI14:AI22" si="4">SUMIF($F$37:$F$123,AG14,$P$37:$P$123)</f>
        <v>0</v>
      </c>
      <c r="AJ14">
        <f t="shared" ref="AJ14:AJ22" si="5">SUMIF($F$37:$F$123,AG14,$Q$37:$Q$123)</f>
        <v>88</v>
      </c>
      <c r="AK14">
        <f t="shared" ref="AK14:AK22" si="6">SUMIF($F$37:$F$123,AG14,$R$37:$R$123)</f>
        <v>44</v>
      </c>
      <c r="AM14" t="s">
        <v>16</v>
      </c>
      <c r="AN14">
        <f t="shared" ref="AN14:AN22" si="7">SUMIF($F$126:$F$153,AM14,$O$126:$O$153)</f>
        <v>4</v>
      </c>
      <c r="AO14">
        <f t="shared" ref="AO14:AO22" si="8">SUMIF($F$126:$F$153,AM14,$P$126:$P$153)</f>
        <v>0</v>
      </c>
      <c r="AP14">
        <f t="shared" ref="AP14:AP22" si="9">SUMIF($F$126:$F$153,AM14,$Q$126:$Q$153)</f>
        <v>8</v>
      </c>
      <c r="AQ14">
        <f t="shared" ref="AQ14:AQ22" si="10">SUMIF($F$126:$F$153,AM14,$R$126:$R$153)</f>
        <v>0</v>
      </c>
      <c r="AS14" t="s">
        <v>16</v>
      </c>
      <c r="AT14">
        <f t="shared" ref="AT14:AT22" si="11">SUMIF($F$156:$F$170,AS14,$O$156:$O$170)</f>
        <v>0</v>
      </c>
      <c r="AU14">
        <f t="shared" ref="AU14:AU22" si="12">SUMIF($F$156:$F$170,AS14,$O$156:$O$170)</f>
        <v>0</v>
      </c>
      <c r="AV14">
        <f t="shared" ref="AV14:AV22" si="13">SUMIF($F$156:$F$170,AS14,$O$156:$O$170)</f>
        <v>0</v>
      </c>
      <c r="AW14">
        <f t="shared" ref="AW14:AW22" si="14">SUMIF($F$156:$F$170,AS14,$O$156:$O$170)</f>
        <v>0</v>
      </c>
      <c r="AY14" t="s">
        <v>16</v>
      </c>
      <c r="AZ14">
        <f t="shared" ref="AZ14:AZ22" si="15">SUMIF($F$173:$F$187,AY14,$O$173:$O$187)</f>
        <v>0</v>
      </c>
      <c r="BA14">
        <f t="shared" ref="BA14:BA22" si="16">SUMIF($F$173:$F$187,AY14,$P$173:$P$187)</f>
        <v>0</v>
      </c>
      <c r="BB14">
        <f t="shared" ref="BB14:BB22" si="17">SUMIF($F$173:$F$187,AY14,$Q$173:$Q$187)</f>
        <v>0</v>
      </c>
      <c r="BC14">
        <f t="shared" ref="BC14:BC22" si="18">SUMIF($F$173:$F$187,AY14,$R$173:$R$187)</f>
        <v>0</v>
      </c>
      <c r="BE14" t="s">
        <v>16</v>
      </c>
      <c r="BF14">
        <f t="shared" ref="BF14:BF22" si="19">SUMIF($F$190:$F$204,BE14,$O$190:$O$204)</f>
        <v>0</v>
      </c>
      <c r="BG14">
        <f t="shared" ref="BG14:BG22" si="20">SUMIF($F$190:$F$204,BE14,$P$190:$P$204)</f>
        <v>0</v>
      </c>
      <c r="BH14">
        <f t="shared" ref="BH14:BH22" si="21">SUMIF($F$190:$F$204,BE14,$Q$190:$Q$204)</f>
        <v>0</v>
      </c>
      <c r="BI14">
        <f t="shared" ref="BI14:BI22" si="22">SUMIF($F$190:$F$204,BE14,$R$190:$R$204)</f>
        <v>0</v>
      </c>
      <c r="BK14" t="s">
        <v>16</v>
      </c>
      <c r="BL14">
        <f t="shared" ref="BL14:BL22" si="23">SUMIF($F$207:$F$222,BK14,$O$207:$O$222)</f>
        <v>0</v>
      </c>
      <c r="BM14">
        <f t="shared" ref="BM14:BM22" si="24">SUMIF($F$207:$F$222,BK14,$P$207:$P$222)</f>
        <v>0</v>
      </c>
      <c r="BN14">
        <f t="shared" ref="BN14:BN22" si="25">SUMIF($F$207:$F$222,BK14,$Q$207:$Q$222)</f>
        <v>0</v>
      </c>
      <c r="BO14">
        <f t="shared" ref="BO14:BO22" si="26">SUMIF($F$207:$F$222,BK14,$R$207:$R$222)</f>
        <v>0</v>
      </c>
      <c r="BQ14" t="s">
        <v>16</v>
      </c>
      <c r="BR14">
        <f t="shared" ref="BR14:BR22" si="27">SUMIF($F$226:$F$237,BQ14,$O$226:$O$237)</f>
        <v>0</v>
      </c>
      <c r="BS14">
        <f t="shared" ref="BS14:BS22" si="28">SUMIF($F$226:$F$237,BQ14,$P$226:$P$237)</f>
        <v>0</v>
      </c>
      <c r="BT14">
        <f t="shared" ref="BT14:BT22" si="29">SUMIF($F$226:$F$237,BQ14,$Q$226:$Q$237)</f>
        <v>0</v>
      </c>
      <c r="BU14">
        <f t="shared" ref="BU14:BU22" si="30">SUMIF($F$226:$F$237,BQ14,$R$226:$R$237)</f>
        <v>0</v>
      </c>
      <c r="BW14" t="s">
        <v>16</v>
      </c>
      <c r="BX14">
        <f t="shared" ref="BX14:BX22" si="31">SUMIF($F$240:$F$243,BW14,$O$240:$O$243)</f>
        <v>0</v>
      </c>
      <c r="BY14">
        <f t="shared" ref="BY14:BY22" si="32">SUMIF($F$240:$F$243,BW14,$P$240:$P$243)</f>
        <v>0</v>
      </c>
      <c r="BZ14">
        <f t="shared" ref="BZ14:BZ22" si="33">SUMIF($F$240:$F$243,BW14,$Q$240:$Q$243)</f>
        <v>0</v>
      </c>
      <c r="CA14">
        <f t="shared" ref="CA14:CA22" si="34">SUMIF($F$240:$F$243,BW14,$R$240:$R$243)</f>
        <v>0</v>
      </c>
      <c r="CC14" t="s">
        <v>16</v>
      </c>
      <c r="CD14">
        <f t="shared" ref="CD14:CD22" si="35">SUM(BX14+BR14+BL14+BF14+AZ14+AT14+AN14+AH14+AB14)</f>
        <v>48</v>
      </c>
      <c r="CE14">
        <f t="shared" ref="CE14:CE22" si="36">SUM(BY14+BS14+BM14+BG14+BA14+AU14+AO14+AI14+AC14)</f>
        <v>0</v>
      </c>
      <c r="CF14">
        <f t="shared" ref="CF14:CF22" si="37">SUM(BZ14+BT14+BN14+BH14+BB14+AV14+AP14+AJ14+AD14)</f>
        <v>96</v>
      </c>
      <c r="CG14">
        <f t="shared" ref="CG14:CG22" si="38">SUM(CA14+BU14+BO14+BI14+BC14+AW14+AQ14+AK14+AE14)</f>
        <v>44</v>
      </c>
      <c r="CI14" t="s">
        <v>413</v>
      </c>
      <c r="CJ14" s="183">
        <f t="shared" ref="CJ14:CJ49" si="39">SUMIF($M$15:$M$243,CI14,$N$15:$N$243)</f>
        <v>0</v>
      </c>
      <c r="CK14" s="181"/>
      <c r="CL14" s="181"/>
      <c r="CM14" s="181"/>
      <c r="CO14" t="s">
        <v>414</v>
      </c>
      <c r="CP14" s="183">
        <f t="shared" ref="CP14:CP49" si="40">SUMIF($M$15:$M$243,CO14,$N$15:$N$243)</f>
        <v>0</v>
      </c>
      <c r="CQ14" s="181"/>
      <c r="CR14" s="181"/>
      <c r="CS14" s="181"/>
      <c r="CU14" t="s">
        <v>415</v>
      </c>
      <c r="CV14" s="183">
        <f t="shared" ref="CV14:CV28" si="41">SUMIF($M$15:$M$245,CU14,$N$15:$N$245)</f>
        <v>0</v>
      </c>
      <c r="CW14" s="181"/>
      <c r="CX14" s="181"/>
      <c r="CY14" s="181"/>
      <c r="DA14" t="s">
        <v>416</v>
      </c>
      <c r="DB14" s="183">
        <f t="shared" ref="DB14:DB28" si="42">SUMIF($M$15:$M$243,DA14,$N$15:$N$243)</f>
        <v>0</v>
      </c>
      <c r="DC14" s="181"/>
      <c r="DD14" s="181"/>
      <c r="DE14" s="181"/>
    </row>
    <row r="15" spans="1:109" x14ac:dyDescent="0.25">
      <c r="B15" s="79" t="s">
        <v>417</v>
      </c>
      <c r="C15" s="73">
        <v>1</v>
      </c>
      <c r="D15" s="29" t="s">
        <v>87</v>
      </c>
      <c r="E15" s="29" t="s">
        <v>418</v>
      </c>
      <c r="F15" s="29" t="s">
        <v>21</v>
      </c>
      <c r="G15" s="29">
        <v>5</v>
      </c>
      <c r="H15" s="29">
        <v>4</v>
      </c>
      <c r="I15" s="29">
        <v>5</v>
      </c>
      <c r="J15" s="29">
        <f>IF(F15=$K$1,$K$2+$K$3+$K$5,
IF(F15=$L$1,$L$2+$L$3+$L$5,
IF(F15=$M$1,$M$2+$M$3+$M$5,
IF(F15=$N$1,$N$2+$N$3+$N$5,
IF(F15=$O$1,$O$2+$O$3+$O$5,
IF(F15=$P$1,$P$2+$P$3,
IF(F15=$Q$1,$Q$2+$Q$3+$Q$5,
IF(F15=$R$1,$R$2+$R$3+$R$5,
IF(F15=$S$1,$S$2+$S$3+$S$5,"")))))))))</f>
        <v>13.3</v>
      </c>
      <c r="K15" s="29">
        <f t="shared" ref="K15:K34" si="43">G15+H15+I15+J15+
IF(F15=$K$1,$K$5,
IF(F15=$L$1,$L$5,
IF(F15=$M$1,$M$5,
IF(F15=$N$1,$N$5,
IF(F15=$O$1,$O$5,
IF(F15=$P$1,$P$5,
IF(F15=$Q$1,$Q$5,
IF(F15=$R$1,$R$5,
IF(F15=$S$1,$S$5,"")))))))))</f>
        <v>32.299999999999997</v>
      </c>
      <c r="L15" s="29">
        <f>CEILING(K15, 5)</f>
        <v>35</v>
      </c>
      <c r="M15" s="78" t="str">
        <f t="shared" ref="M15:M22" si="44">(CONCATENATE(F15,"x",L15,"-",IF(F15=$K$1,$C$4,IF(F15=$L$1,$C$4,IF(F15=$M$1,$C$4,IF(F15=$N$1,$C$4,IF(F15=$O$1,$C$4,IF(F15=$P$1,$C$5,IF(F15=$Q$1,$C$5,IF(F15=$R$1,$C$5,0))))))))))</f>
        <v>M12x35-HDG-8.8</v>
      </c>
      <c r="N15" s="29">
        <f>C15*8</f>
        <v>8</v>
      </c>
      <c r="O15" s="29">
        <f>C15*8</f>
        <v>8</v>
      </c>
      <c r="P15" s="29">
        <v>0</v>
      </c>
      <c r="Q15" s="29">
        <f t="shared" ref="Q15:Q22" si="45">N15*1</f>
        <v>8</v>
      </c>
      <c r="R15" s="29">
        <f t="shared" ref="R15:R34" si="46">N15*2</f>
        <v>16</v>
      </c>
      <c r="AA15" t="s">
        <v>17</v>
      </c>
      <c r="AB15">
        <f t="shared" si="0"/>
        <v>0</v>
      </c>
      <c r="AC15">
        <f t="shared" si="1"/>
        <v>0</v>
      </c>
      <c r="AD15">
        <f t="shared" si="2"/>
        <v>0</v>
      </c>
      <c r="AE15">
        <f t="shared" si="3"/>
        <v>0</v>
      </c>
      <c r="AG15" t="s">
        <v>17</v>
      </c>
      <c r="AH15">
        <f>SUMIF($F$37:$F$123,AG15,$O$37:$O$123)</f>
        <v>9</v>
      </c>
      <c r="AI15">
        <f t="shared" si="4"/>
        <v>0</v>
      </c>
      <c r="AJ15">
        <f t="shared" si="5"/>
        <v>18</v>
      </c>
      <c r="AK15">
        <f t="shared" si="6"/>
        <v>8</v>
      </c>
      <c r="AM15" t="s">
        <v>17</v>
      </c>
      <c r="AN15">
        <f t="shared" si="7"/>
        <v>0</v>
      </c>
      <c r="AO15">
        <f t="shared" si="8"/>
        <v>0</v>
      </c>
      <c r="AP15">
        <f t="shared" si="9"/>
        <v>0</v>
      </c>
      <c r="AQ15">
        <f t="shared" si="10"/>
        <v>0</v>
      </c>
      <c r="AS15" t="s">
        <v>17</v>
      </c>
      <c r="AT15">
        <f t="shared" si="11"/>
        <v>0</v>
      </c>
      <c r="AU15">
        <f t="shared" si="12"/>
        <v>0</v>
      </c>
      <c r="AV15">
        <f t="shared" si="13"/>
        <v>0</v>
      </c>
      <c r="AW15">
        <f t="shared" si="14"/>
        <v>0</v>
      </c>
      <c r="AY15" t="s">
        <v>17</v>
      </c>
      <c r="AZ15">
        <f t="shared" si="15"/>
        <v>0</v>
      </c>
      <c r="BA15">
        <f t="shared" si="16"/>
        <v>0</v>
      </c>
      <c r="BB15">
        <f t="shared" si="17"/>
        <v>0</v>
      </c>
      <c r="BC15">
        <f t="shared" si="18"/>
        <v>0</v>
      </c>
      <c r="BE15" t="s">
        <v>17</v>
      </c>
      <c r="BF15">
        <f t="shared" si="19"/>
        <v>0</v>
      </c>
      <c r="BG15">
        <f t="shared" si="20"/>
        <v>0</v>
      </c>
      <c r="BH15">
        <f t="shared" si="21"/>
        <v>0</v>
      </c>
      <c r="BI15">
        <f t="shared" si="22"/>
        <v>0</v>
      </c>
      <c r="BK15" t="s">
        <v>17</v>
      </c>
      <c r="BL15">
        <f t="shared" si="23"/>
        <v>0</v>
      </c>
      <c r="BM15">
        <f t="shared" si="24"/>
        <v>0</v>
      </c>
      <c r="BN15">
        <f t="shared" si="25"/>
        <v>0</v>
      </c>
      <c r="BO15">
        <f t="shared" si="26"/>
        <v>0</v>
      </c>
      <c r="BQ15" t="s">
        <v>17</v>
      </c>
      <c r="BR15">
        <f t="shared" si="27"/>
        <v>0</v>
      </c>
      <c r="BS15">
        <f t="shared" si="28"/>
        <v>0</v>
      </c>
      <c r="BT15">
        <f t="shared" si="29"/>
        <v>0</v>
      </c>
      <c r="BU15">
        <f t="shared" si="30"/>
        <v>0</v>
      </c>
      <c r="BW15" t="s">
        <v>17</v>
      </c>
      <c r="BX15">
        <f t="shared" si="31"/>
        <v>0</v>
      </c>
      <c r="BY15">
        <f t="shared" si="32"/>
        <v>0</v>
      </c>
      <c r="BZ15">
        <f t="shared" si="33"/>
        <v>0</v>
      </c>
      <c r="CA15">
        <f t="shared" si="34"/>
        <v>0</v>
      </c>
      <c r="CC15" t="s">
        <v>17</v>
      </c>
      <c r="CD15">
        <f t="shared" si="35"/>
        <v>9</v>
      </c>
      <c r="CE15">
        <f t="shared" si="36"/>
        <v>0</v>
      </c>
      <c r="CF15">
        <f t="shared" si="37"/>
        <v>18</v>
      </c>
      <c r="CG15">
        <f t="shared" si="38"/>
        <v>8</v>
      </c>
      <c r="CI15" t="s">
        <v>419</v>
      </c>
      <c r="CJ15" s="183">
        <f t="shared" si="39"/>
        <v>0</v>
      </c>
      <c r="CK15" s="181"/>
      <c r="CL15" s="181"/>
      <c r="CM15" s="181"/>
      <c r="CO15" t="s">
        <v>420</v>
      </c>
      <c r="CP15" s="183">
        <f t="shared" si="40"/>
        <v>0</v>
      </c>
      <c r="CQ15" s="181"/>
      <c r="CR15" s="181"/>
      <c r="CS15" s="181"/>
      <c r="CU15" t="s">
        <v>421</v>
      </c>
      <c r="CV15" s="183">
        <f t="shared" si="41"/>
        <v>0</v>
      </c>
      <c r="CW15" s="181"/>
      <c r="CX15" s="181"/>
      <c r="CY15" s="181"/>
      <c r="DA15" t="s">
        <v>422</v>
      </c>
      <c r="DB15" s="183">
        <f t="shared" si="42"/>
        <v>0</v>
      </c>
      <c r="DC15" s="181"/>
      <c r="DD15" s="181"/>
      <c r="DE15" s="181"/>
    </row>
    <row r="16" spans="1:109" x14ac:dyDescent="0.25">
      <c r="B16" s="135" t="s">
        <v>423</v>
      </c>
      <c r="C16" s="73">
        <v>1</v>
      </c>
      <c r="D16" s="29" t="s">
        <v>87</v>
      </c>
      <c r="E16" s="29" t="s">
        <v>418</v>
      </c>
      <c r="F16" s="29" t="s">
        <v>21</v>
      </c>
      <c r="G16" s="29">
        <v>10</v>
      </c>
      <c r="H16" s="29">
        <v>5</v>
      </c>
      <c r="I16" s="29">
        <v>10</v>
      </c>
      <c r="J16" s="29">
        <f t="shared" ref="J16:J22" si="47">IF(F16=$K$1,$K$2+$K$3+$K$5,
IF(F16=$L$1,$L$2+$L$3+$L$5,
IF(F16=$M$1,$M$2+$M$3+$M$5,
IF(F16=$N$1,$N$2+$N$3+$N$5,
IF(F16=$O$1,$O$2+$O$3+$O$5,
IF(F16=$P$1,$P$2+$P$3+$P$5,
IF(F16=$Q$1,$Q$2+$Q$3+$Q$5,
IF(F16=$R$1,$R$2+$R$3+$R$5,
IF(F16=$S$1,$S$2+$S$3+$S$5,"")))))))))</f>
        <v>18.3</v>
      </c>
      <c r="K16" s="29">
        <f t="shared" si="43"/>
        <v>48.3</v>
      </c>
      <c r="L16" s="29">
        <f t="shared" ref="L16:L34" si="48">CEILING(K16, 10)</f>
        <v>50</v>
      </c>
      <c r="M16" s="78" t="str">
        <f t="shared" si="44"/>
        <v>M12x50-HDG-8.8</v>
      </c>
      <c r="N16" s="29">
        <f>C16*8</f>
        <v>8</v>
      </c>
      <c r="O16" s="29">
        <f>C16*8</f>
        <v>8</v>
      </c>
      <c r="P16" s="29">
        <v>0</v>
      </c>
      <c r="Q16" s="29">
        <f t="shared" si="45"/>
        <v>8</v>
      </c>
      <c r="R16" s="29">
        <f t="shared" si="46"/>
        <v>16</v>
      </c>
      <c r="AA16" t="s">
        <v>18</v>
      </c>
      <c r="AB16">
        <f t="shared" si="0"/>
        <v>0</v>
      </c>
      <c r="AC16">
        <f t="shared" si="1"/>
        <v>0</v>
      </c>
      <c r="AD16">
        <f t="shared" si="2"/>
        <v>0</v>
      </c>
      <c r="AE16">
        <f t="shared" si="3"/>
        <v>0</v>
      </c>
      <c r="AG16" t="s">
        <v>18</v>
      </c>
      <c r="AH16">
        <f>SUMIF($F$37:$F$123,AG16,$O$37:$O$123)</f>
        <v>0</v>
      </c>
      <c r="AI16">
        <f t="shared" si="4"/>
        <v>0</v>
      </c>
      <c r="AJ16">
        <f t="shared" si="5"/>
        <v>0</v>
      </c>
      <c r="AK16">
        <f t="shared" si="6"/>
        <v>0</v>
      </c>
      <c r="AM16" t="s">
        <v>18</v>
      </c>
      <c r="AN16">
        <f t="shared" si="7"/>
        <v>0</v>
      </c>
      <c r="AO16">
        <f t="shared" si="8"/>
        <v>0</v>
      </c>
      <c r="AP16">
        <f t="shared" si="9"/>
        <v>0</v>
      </c>
      <c r="AQ16">
        <f t="shared" si="10"/>
        <v>0</v>
      </c>
      <c r="AS16" t="s">
        <v>18</v>
      </c>
      <c r="AT16">
        <f t="shared" si="11"/>
        <v>0</v>
      </c>
      <c r="AU16">
        <f t="shared" si="12"/>
        <v>0</v>
      </c>
      <c r="AV16">
        <f t="shared" si="13"/>
        <v>0</v>
      </c>
      <c r="AW16">
        <f t="shared" si="14"/>
        <v>0</v>
      </c>
      <c r="AY16" t="s">
        <v>18</v>
      </c>
      <c r="AZ16">
        <f t="shared" si="15"/>
        <v>0</v>
      </c>
      <c r="BA16">
        <f t="shared" si="16"/>
        <v>0</v>
      </c>
      <c r="BB16">
        <f t="shared" si="17"/>
        <v>0</v>
      </c>
      <c r="BC16">
        <f t="shared" si="18"/>
        <v>0</v>
      </c>
      <c r="BE16" t="s">
        <v>18</v>
      </c>
      <c r="BF16">
        <f t="shared" si="19"/>
        <v>0</v>
      </c>
      <c r="BG16">
        <f t="shared" si="20"/>
        <v>0</v>
      </c>
      <c r="BH16">
        <f t="shared" si="21"/>
        <v>0</v>
      </c>
      <c r="BI16">
        <f t="shared" si="22"/>
        <v>0</v>
      </c>
      <c r="BK16" t="s">
        <v>18</v>
      </c>
      <c r="BL16">
        <f t="shared" si="23"/>
        <v>0</v>
      </c>
      <c r="BM16">
        <f t="shared" si="24"/>
        <v>0</v>
      </c>
      <c r="BN16">
        <f t="shared" si="25"/>
        <v>0</v>
      </c>
      <c r="BO16">
        <f t="shared" si="26"/>
        <v>0</v>
      </c>
      <c r="BQ16" t="s">
        <v>18</v>
      </c>
      <c r="BR16">
        <f t="shared" si="27"/>
        <v>0</v>
      </c>
      <c r="BS16">
        <f t="shared" si="28"/>
        <v>0</v>
      </c>
      <c r="BT16">
        <f t="shared" si="29"/>
        <v>0</v>
      </c>
      <c r="BU16">
        <f t="shared" si="30"/>
        <v>0</v>
      </c>
      <c r="BW16" t="s">
        <v>18</v>
      </c>
      <c r="BX16">
        <f t="shared" si="31"/>
        <v>0</v>
      </c>
      <c r="BY16">
        <f t="shared" si="32"/>
        <v>0</v>
      </c>
      <c r="BZ16">
        <f t="shared" si="33"/>
        <v>0</v>
      </c>
      <c r="CA16">
        <f t="shared" si="34"/>
        <v>0</v>
      </c>
      <c r="CC16" t="s">
        <v>18</v>
      </c>
      <c r="CD16">
        <f t="shared" si="35"/>
        <v>0</v>
      </c>
      <c r="CE16">
        <f t="shared" si="36"/>
        <v>0</v>
      </c>
      <c r="CF16">
        <f t="shared" si="37"/>
        <v>0</v>
      </c>
      <c r="CG16">
        <f t="shared" si="38"/>
        <v>0</v>
      </c>
      <c r="CI16" t="s">
        <v>424</v>
      </c>
      <c r="CJ16" s="183">
        <f t="shared" si="39"/>
        <v>0</v>
      </c>
      <c r="CK16" s="181"/>
      <c r="CL16" s="181"/>
      <c r="CM16" s="181"/>
      <c r="CO16" t="s">
        <v>425</v>
      </c>
      <c r="CP16" s="183">
        <f t="shared" si="40"/>
        <v>0</v>
      </c>
      <c r="CQ16" s="181"/>
      <c r="CR16" s="181"/>
      <c r="CS16" s="181"/>
      <c r="CU16" t="s">
        <v>426</v>
      </c>
      <c r="CV16" s="183">
        <f t="shared" si="41"/>
        <v>0</v>
      </c>
      <c r="CW16" s="181"/>
      <c r="CX16" s="181"/>
      <c r="CY16" s="181"/>
      <c r="DA16" t="s">
        <v>427</v>
      </c>
      <c r="DB16" s="183">
        <f t="shared" si="42"/>
        <v>0</v>
      </c>
      <c r="DC16" s="181"/>
      <c r="DD16" s="181"/>
      <c r="DE16" s="181"/>
    </row>
    <row r="17" spans="1:109" x14ac:dyDescent="0.25">
      <c r="B17" s="79" t="s">
        <v>428</v>
      </c>
      <c r="C17" s="73">
        <v>1</v>
      </c>
      <c r="D17" s="29" t="s">
        <v>87</v>
      </c>
      <c r="E17" s="29" t="s">
        <v>418</v>
      </c>
      <c r="F17" s="29" t="s">
        <v>22</v>
      </c>
      <c r="G17" s="29">
        <v>10</v>
      </c>
      <c r="H17" s="29">
        <v>5</v>
      </c>
      <c r="I17" s="29">
        <v>10</v>
      </c>
      <c r="J17" s="29">
        <f t="shared" si="47"/>
        <v>22.8</v>
      </c>
      <c r="K17" s="29">
        <f t="shared" si="43"/>
        <v>52.8</v>
      </c>
      <c r="L17" s="29">
        <f t="shared" si="48"/>
        <v>60</v>
      </c>
      <c r="M17" s="78" t="str">
        <f t="shared" si="44"/>
        <v>M16x60-HDG-8.8</v>
      </c>
      <c r="N17" s="29">
        <f>C17*8</f>
        <v>8</v>
      </c>
      <c r="O17" s="29">
        <f>C17*8</f>
        <v>8</v>
      </c>
      <c r="P17" s="29">
        <v>0</v>
      </c>
      <c r="Q17" s="29">
        <f t="shared" si="45"/>
        <v>8</v>
      </c>
      <c r="R17" s="29">
        <f t="shared" si="46"/>
        <v>16</v>
      </c>
      <c r="AA17" t="s">
        <v>19</v>
      </c>
      <c r="AB17">
        <f t="shared" si="0"/>
        <v>0</v>
      </c>
      <c r="AC17">
        <f t="shared" si="1"/>
        <v>0</v>
      </c>
      <c r="AD17">
        <f t="shared" si="2"/>
        <v>0</v>
      </c>
      <c r="AE17">
        <f t="shared" si="3"/>
        <v>0</v>
      </c>
      <c r="AG17" t="s">
        <v>19</v>
      </c>
      <c r="AH17">
        <f>SUMIF($F$37:$F$123,AG17,$O$37:$O$123)</f>
        <v>22</v>
      </c>
      <c r="AI17">
        <f t="shared" si="4"/>
        <v>0</v>
      </c>
      <c r="AJ17">
        <f t="shared" si="5"/>
        <v>107</v>
      </c>
      <c r="AK17">
        <f t="shared" si="6"/>
        <v>16</v>
      </c>
      <c r="AM17" t="s">
        <v>19</v>
      </c>
      <c r="AN17">
        <f t="shared" si="7"/>
        <v>0</v>
      </c>
      <c r="AO17">
        <f t="shared" si="8"/>
        <v>0</v>
      </c>
      <c r="AP17">
        <f t="shared" si="9"/>
        <v>0</v>
      </c>
      <c r="AQ17">
        <f t="shared" si="10"/>
        <v>0</v>
      </c>
      <c r="AS17" t="s">
        <v>19</v>
      </c>
      <c r="AT17">
        <f t="shared" si="11"/>
        <v>0</v>
      </c>
      <c r="AU17">
        <f t="shared" si="12"/>
        <v>0</v>
      </c>
      <c r="AV17">
        <f t="shared" si="13"/>
        <v>0</v>
      </c>
      <c r="AW17">
        <f t="shared" si="14"/>
        <v>0</v>
      </c>
      <c r="AY17" t="s">
        <v>19</v>
      </c>
      <c r="AZ17">
        <f t="shared" si="15"/>
        <v>0</v>
      </c>
      <c r="BA17">
        <f t="shared" si="16"/>
        <v>0</v>
      </c>
      <c r="BB17">
        <f t="shared" si="17"/>
        <v>0</v>
      </c>
      <c r="BC17">
        <f t="shared" si="18"/>
        <v>0</v>
      </c>
      <c r="BE17" t="s">
        <v>19</v>
      </c>
      <c r="BF17">
        <f t="shared" si="19"/>
        <v>0</v>
      </c>
      <c r="BG17">
        <f t="shared" si="20"/>
        <v>0</v>
      </c>
      <c r="BH17">
        <f t="shared" si="21"/>
        <v>0</v>
      </c>
      <c r="BI17">
        <f t="shared" si="22"/>
        <v>0</v>
      </c>
      <c r="BK17" t="s">
        <v>19</v>
      </c>
      <c r="BL17">
        <f t="shared" si="23"/>
        <v>0</v>
      </c>
      <c r="BM17">
        <f t="shared" si="24"/>
        <v>0</v>
      </c>
      <c r="BN17">
        <f t="shared" si="25"/>
        <v>0</v>
      </c>
      <c r="BO17">
        <f t="shared" si="26"/>
        <v>0</v>
      </c>
      <c r="BQ17" t="s">
        <v>19</v>
      </c>
      <c r="BR17">
        <f t="shared" si="27"/>
        <v>0</v>
      </c>
      <c r="BS17">
        <f t="shared" si="28"/>
        <v>0</v>
      </c>
      <c r="BT17">
        <f t="shared" si="29"/>
        <v>0</v>
      </c>
      <c r="BU17">
        <f t="shared" si="30"/>
        <v>0</v>
      </c>
      <c r="BW17" t="s">
        <v>19</v>
      </c>
      <c r="BX17">
        <f t="shared" si="31"/>
        <v>0</v>
      </c>
      <c r="BY17">
        <f t="shared" si="32"/>
        <v>0</v>
      </c>
      <c r="BZ17">
        <f t="shared" si="33"/>
        <v>0</v>
      </c>
      <c r="CA17">
        <f t="shared" si="34"/>
        <v>0</v>
      </c>
      <c r="CC17" t="s">
        <v>19</v>
      </c>
      <c r="CD17">
        <f t="shared" si="35"/>
        <v>22</v>
      </c>
      <c r="CE17">
        <f t="shared" si="36"/>
        <v>0</v>
      </c>
      <c r="CF17">
        <f t="shared" si="37"/>
        <v>107</v>
      </c>
      <c r="CG17">
        <f t="shared" si="38"/>
        <v>16</v>
      </c>
      <c r="CI17" t="s">
        <v>429</v>
      </c>
      <c r="CJ17" s="183">
        <f t="shared" si="39"/>
        <v>0</v>
      </c>
      <c r="CK17" s="181"/>
      <c r="CL17" s="181"/>
      <c r="CM17" s="181"/>
      <c r="CO17" t="s">
        <v>430</v>
      </c>
      <c r="CP17" s="183">
        <f t="shared" si="40"/>
        <v>0</v>
      </c>
      <c r="CQ17" s="181"/>
      <c r="CR17" s="181"/>
      <c r="CS17" s="181"/>
      <c r="CU17" t="s">
        <v>431</v>
      </c>
      <c r="CV17" s="183">
        <f t="shared" si="41"/>
        <v>0</v>
      </c>
      <c r="CW17" s="181"/>
      <c r="CX17" s="181"/>
      <c r="CY17" s="181"/>
      <c r="DA17" t="s">
        <v>432</v>
      </c>
      <c r="DB17" s="183">
        <f t="shared" si="42"/>
        <v>0</v>
      </c>
      <c r="DC17" s="181"/>
      <c r="DD17" s="181"/>
      <c r="DE17" s="181"/>
    </row>
    <row r="18" spans="1:109" x14ac:dyDescent="0.25">
      <c r="B18" s="79" t="s">
        <v>433</v>
      </c>
      <c r="C18" s="73">
        <v>1</v>
      </c>
      <c r="D18" s="29" t="s">
        <v>87</v>
      </c>
      <c r="E18" s="29" t="s">
        <v>418</v>
      </c>
      <c r="F18" s="29" t="s">
        <v>22</v>
      </c>
      <c r="G18" s="29">
        <v>10</v>
      </c>
      <c r="H18" s="29">
        <v>5</v>
      </c>
      <c r="I18" s="29">
        <v>10</v>
      </c>
      <c r="J18" s="29">
        <f t="shared" si="47"/>
        <v>22.8</v>
      </c>
      <c r="K18" s="29">
        <f t="shared" si="43"/>
        <v>52.8</v>
      </c>
      <c r="L18" s="29">
        <f t="shared" si="48"/>
        <v>60</v>
      </c>
      <c r="M18" s="78" t="str">
        <f t="shared" si="44"/>
        <v>M16x60-HDG-8.8</v>
      </c>
      <c r="N18" s="29">
        <f>C18*8</f>
        <v>8</v>
      </c>
      <c r="O18" s="29">
        <f>C18*8</f>
        <v>8</v>
      </c>
      <c r="P18" s="29">
        <v>0</v>
      </c>
      <c r="Q18" s="29">
        <f t="shared" si="45"/>
        <v>8</v>
      </c>
      <c r="R18" s="29">
        <f t="shared" si="46"/>
        <v>16</v>
      </c>
      <c r="AA18" t="s">
        <v>20</v>
      </c>
      <c r="AB18">
        <f t="shared" si="0"/>
        <v>0</v>
      </c>
      <c r="AC18">
        <f t="shared" si="1"/>
        <v>0</v>
      </c>
      <c r="AD18">
        <f t="shared" si="2"/>
        <v>0</v>
      </c>
      <c r="AE18">
        <f t="shared" si="3"/>
        <v>0</v>
      </c>
      <c r="AG18" t="s">
        <v>20</v>
      </c>
      <c r="AH18">
        <f>SUMIF($F$37:$F$123,AG18,$O$37:$O$123)</f>
        <v>90</v>
      </c>
      <c r="AI18">
        <f t="shared" si="4"/>
        <v>0</v>
      </c>
      <c r="AJ18">
        <f t="shared" si="5"/>
        <v>154</v>
      </c>
      <c r="AK18">
        <f t="shared" si="6"/>
        <v>28</v>
      </c>
      <c r="AM18" t="s">
        <v>20</v>
      </c>
      <c r="AN18">
        <f t="shared" si="7"/>
        <v>0</v>
      </c>
      <c r="AO18">
        <f t="shared" si="8"/>
        <v>0</v>
      </c>
      <c r="AP18">
        <f t="shared" si="9"/>
        <v>0</v>
      </c>
      <c r="AQ18">
        <f t="shared" si="10"/>
        <v>0</v>
      </c>
      <c r="AS18" t="s">
        <v>20</v>
      </c>
      <c r="AT18">
        <f t="shared" si="11"/>
        <v>0</v>
      </c>
      <c r="AU18">
        <f t="shared" si="12"/>
        <v>0</v>
      </c>
      <c r="AV18">
        <f t="shared" si="13"/>
        <v>0</v>
      </c>
      <c r="AW18">
        <f t="shared" si="14"/>
        <v>0</v>
      </c>
      <c r="AY18" t="s">
        <v>20</v>
      </c>
      <c r="AZ18">
        <f t="shared" si="15"/>
        <v>0</v>
      </c>
      <c r="BA18">
        <f t="shared" si="16"/>
        <v>0</v>
      </c>
      <c r="BB18">
        <f t="shared" si="17"/>
        <v>0</v>
      </c>
      <c r="BC18">
        <f t="shared" si="18"/>
        <v>0</v>
      </c>
      <c r="BE18" t="s">
        <v>20</v>
      </c>
      <c r="BF18">
        <f t="shared" si="19"/>
        <v>0</v>
      </c>
      <c r="BG18">
        <f t="shared" si="20"/>
        <v>0</v>
      </c>
      <c r="BH18">
        <f t="shared" si="21"/>
        <v>0</v>
      </c>
      <c r="BI18">
        <f t="shared" si="22"/>
        <v>0</v>
      </c>
      <c r="BK18" t="s">
        <v>20</v>
      </c>
      <c r="BL18">
        <f t="shared" si="23"/>
        <v>0</v>
      </c>
      <c r="BM18">
        <f t="shared" si="24"/>
        <v>0</v>
      </c>
      <c r="BN18">
        <f t="shared" si="25"/>
        <v>0</v>
      </c>
      <c r="BO18">
        <f t="shared" si="26"/>
        <v>0</v>
      </c>
      <c r="BQ18" t="s">
        <v>20</v>
      </c>
      <c r="BR18">
        <f t="shared" si="27"/>
        <v>0</v>
      </c>
      <c r="BS18">
        <f t="shared" si="28"/>
        <v>0</v>
      </c>
      <c r="BT18">
        <f t="shared" si="29"/>
        <v>0</v>
      </c>
      <c r="BU18">
        <f t="shared" si="30"/>
        <v>0</v>
      </c>
      <c r="BW18" t="s">
        <v>20</v>
      </c>
      <c r="BX18">
        <f t="shared" si="31"/>
        <v>0</v>
      </c>
      <c r="BY18">
        <f t="shared" si="32"/>
        <v>0</v>
      </c>
      <c r="BZ18">
        <f t="shared" si="33"/>
        <v>0</v>
      </c>
      <c r="CA18">
        <f t="shared" si="34"/>
        <v>0</v>
      </c>
      <c r="CC18" t="s">
        <v>20</v>
      </c>
      <c r="CD18">
        <f t="shared" si="35"/>
        <v>90</v>
      </c>
      <c r="CE18">
        <f t="shared" si="36"/>
        <v>0</v>
      </c>
      <c r="CF18">
        <f t="shared" si="37"/>
        <v>154</v>
      </c>
      <c r="CG18">
        <f t="shared" si="38"/>
        <v>28</v>
      </c>
      <c r="CI18" t="s">
        <v>434</v>
      </c>
      <c r="CJ18" s="183">
        <f t="shared" si="39"/>
        <v>0</v>
      </c>
      <c r="CK18" s="181"/>
      <c r="CL18" s="181"/>
      <c r="CM18" s="181"/>
      <c r="CO18" t="s">
        <v>435</v>
      </c>
      <c r="CP18" s="183">
        <f t="shared" si="40"/>
        <v>0</v>
      </c>
      <c r="CQ18" s="181"/>
      <c r="CR18" s="181"/>
      <c r="CS18" s="181"/>
      <c r="CU18" t="s">
        <v>436</v>
      </c>
      <c r="CV18" s="183">
        <f t="shared" si="41"/>
        <v>0</v>
      </c>
      <c r="CW18" s="181"/>
      <c r="CX18" s="181"/>
      <c r="CY18" s="181"/>
      <c r="DA18" t="s">
        <v>437</v>
      </c>
      <c r="DB18" s="183">
        <f t="shared" si="42"/>
        <v>0</v>
      </c>
      <c r="DC18" s="181"/>
      <c r="DD18" s="181"/>
      <c r="DE18" s="181"/>
    </row>
    <row r="19" spans="1:109" x14ac:dyDescent="0.25">
      <c r="B19" s="79" t="s">
        <v>438</v>
      </c>
      <c r="C19" s="73">
        <v>1</v>
      </c>
      <c r="D19" s="29" t="s">
        <v>87</v>
      </c>
      <c r="E19" s="29" t="s">
        <v>418</v>
      </c>
      <c r="F19" s="29" t="s">
        <v>22</v>
      </c>
      <c r="G19" s="29">
        <v>10</v>
      </c>
      <c r="H19" s="29">
        <v>5</v>
      </c>
      <c r="I19" s="29">
        <v>10</v>
      </c>
      <c r="J19" s="29">
        <f t="shared" si="47"/>
        <v>22.8</v>
      </c>
      <c r="K19" s="29">
        <f t="shared" si="43"/>
        <v>52.8</v>
      </c>
      <c r="L19" s="29">
        <f t="shared" si="48"/>
        <v>60</v>
      </c>
      <c r="M19" s="78" t="str">
        <f t="shared" si="44"/>
        <v>M16x60-HDG-8.8</v>
      </c>
      <c r="N19" s="29">
        <f>C19*8</f>
        <v>8</v>
      </c>
      <c r="O19" s="29">
        <f>C19*8</f>
        <v>8</v>
      </c>
      <c r="P19" s="29">
        <v>0</v>
      </c>
      <c r="Q19" s="29">
        <f t="shared" si="45"/>
        <v>8</v>
      </c>
      <c r="R19" s="29">
        <f t="shared" si="46"/>
        <v>16</v>
      </c>
      <c r="AA19" t="s">
        <v>21</v>
      </c>
      <c r="AB19">
        <f t="shared" si="0"/>
        <v>20</v>
      </c>
      <c r="AC19">
        <f t="shared" si="1"/>
        <v>0</v>
      </c>
      <c r="AD19">
        <f t="shared" si="2"/>
        <v>20</v>
      </c>
      <c r="AE19">
        <f t="shared" si="3"/>
        <v>40</v>
      </c>
      <c r="AG19" t="s">
        <v>21</v>
      </c>
      <c r="AH19">
        <f>SUMIF(F37:F123,AG19,O37:O123)</f>
        <v>624</v>
      </c>
      <c r="AI19">
        <f t="shared" si="4"/>
        <v>12</v>
      </c>
      <c r="AJ19">
        <f t="shared" si="5"/>
        <v>984</v>
      </c>
      <c r="AK19">
        <f t="shared" si="6"/>
        <v>52</v>
      </c>
      <c r="AM19" t="s">
        <v>21</v>
      </c>
      <c r="AN19">
        <f t="shared" si="7"/>
        <v>458</v>
      </c>
      <c r="AO19">
        <f t="shared" si="8"/>
        <v>0</v>
      </c>
      <c r="AP19">
        <f t="shared" si="9"/>
        <v>778</v>
      </c>
      <c r="AQ19">
        <f t="shared" si="10"/>
        <v>32</v>
      </c>
      <c r="AS19" t="s">
        <v>21</v>
      </c>
      <c r="AT19">
        <f t="shared" si="11"/>
        <v>379</v>
      </c>
      <c r="AU19">
        <f t="shared" si="12"/>
        <v>379</v>
      </c>
      <c r="AV19">
        <f t="shared" si="13"/>
        <v>379</v>
      </c>
      <c r="AW19">
        <f t="shared" si="14"/>
        <v>379</v>
      </c>
      <c r="AY19" t="s">
        <v>21</v>
      </c>
      <c r="AZ19">
        <f t="shared" si="15"/>
        <v>379</v>
      </c>
      <c r="BA19">
        <f t="shared" si="16"/>
        <v>1</v>
      </c>
      <c r="BB19">
        <f t="shared" si="17"/>
        <v>702</v>
      </c>
      <c r="BC19">
        <f t="shared" si="18"/>
        <v>326</v>
      </c>
      <c r="BE19" t="s">
        <v>21</v>
      </c>
      <c r="BF19">
        <f t="shared" si="19"/>
        <v>379</v>
      </c>
      <c r="BG19">
        <f t="shared" si="20"/>
        <v>1</v>
      </c>
      <c r="BH19">
        <f t="shared" si="21"/>
        <v>702</v>
      </c>
      <c r="BI19">
        <f t="shared" si="22"/>
        <v>326</v>
      </c>
      <c r="BK19" t="s">
        <v>21</v>
      </c>
      <c r="BL19">
        <f t="shared" si="23"/>
        <v>0</v>
      </c>
      <c r="BM19">
        <f t="shared" si="24"/>
        <v>0</v>
      </c>
      <c r="BN19">
        <f t="shared" si="25"/>
        <v>0</v>
      </c>
      <c r="BO19">
        <f t="shared" si="26"/>
        <v>0</v>
      </c>
      <c r="BQ19" t="s">
        <v>21</v>
      </c>
      <c r="BR19">
        <f t="shared" si="27"/>
        <v>26</v>
      </c>
      <c r="BS19">
        <f t="shared" si="28"/>
        <v>0</v>
      </c>
      <c r="BT19">
        <f t="shared" si="29"/>
        <v>52</v>
      </c>
      <c r="BU19">
        <f t="shared" si="30"/>
        <v>0</v>
      </c>
      <c r="BW19" t="s">
        <v>21</v>
      </c>
      <c r="BX19">
        <f t="shared" si="31"/>
        <v>80</v>
      </c>
      <c r="BY19">
        <f t="shared" si="32"/>
        <v>0</v>
      </c>
      <c r="BZ19">
        <f t="shared" si="33"/>
        <v>80</v>
      </c>
      <c r="CA19">
        <f t="shared" si="34"/>
        <v>40</v>
      </c>
      <c r="CC19" t="s">
        <v>21</v>
      </c>
      <c r="CD19">
        <f t="shared" si="35"/>
        <v>2345</v>
      </c>
      <c r="CE19">
        <f t="shared" si="36"/>
        <v>393</v>
      </c>
      <c r="CF19">
        <f t="shared" si="37"/>
        <v>3697</v>
      </c>
      <c r="CG19">
        <f t="shared" si="38"/>
        <v>1195</v>
      </c>
      <c r="CI19" t="s">
        <v>439</v>
      </c>
      <c r="CJ19" s="183">
        <f t="shared" si="39"/>
        <v>0</v>
      </c>
      <c r="CK19" s="181"/>
      <c r="CL19" s="181"/>
      <c r="CM19" s="181"/>
      <c r="CO19" t="s">
        <v>440</v>
      </c>
      <c r="CP19" s="183">
        <f t="shared" si="40"/>
        <v>0</v>
      </c>
      <c r="CQ19" s="181"/>
      <c r="CR19" s="181"/>
      <c r="CS19" s="181"/>
      <c r="CU19" t="s">
        <v>441</v>
      </c>
      <c r="CV19" s="183">
        <f t="shared" si="41"/>
        <v>0</v>
      </c>
      <c r="CW19" s="181"/>
      <c r="CX19" s="181"/>
      <c r="CY19" s="181"/>
      <c r="DA19" t="s">
        <v>442</v>
      </c>
      <c r="DB19" s="183">
        <f t="shared" si="42"/>
        <v>0</v>
      </c>
      <c r="DC19" s="181"/>
      <c r="DD19" s="181"/>
      <c r="DE19" s="181"/>
    </row>
    <row r="20" spans="1:109" x14ac:dyDescent="0.25">
      <c r="B20" s="79" t="s">
        <v>443</v>
      </c>
      <c r="C20" s="73">
        <v>1</v>
      </c>
      <c r="D20" s="29" t="s">
        <v>87</v>
      </c>
      <c r="E20" s="29" t="s">
        <v>418</v>
      </c>
      <c r="F20" s="29" t="s">
        <v>22</v>
      </c>
      <c r="G20" s="29">
        <v>20</v>
      </c>
      <c r="H20" s="29">
        <v>5</v>
      </c>
      <c r="I20" s="29">
        <v>20</v>
      </c>
      <c r="J20" s="29">
        <f t="shared" si="47"/>
        <v>22.8</v>
      </c>
      <c r="K20" s="29">
        <f t="shared" si="43"/>
        <v>72.8</v>
      </c>
      <c r="L20" s="29">
        <f t="shared" si="48"/>
        <v>80</v>
      </c>
      <c r="M20" s="78" t="str">
        <f t="shared" si="44"/>
        <v>M16x80-HDG-8.8</v>
      </c>
      <c r="N20" s="29">
        <f>C20*16</f>
        <v>16</v>
      </c>
      <c r="O20" s="29">
        <f>C20*16</f>
        <v>16</v>
      </c>
      <c r="P20" s="29">
        <v>0</v>
      </c>
      <c r="Q20" s="29">
        <f t="shared" si="45"/>
        <v>16</v>
      </c>
      <c r="R20" s="29">
        <f t="shared" si="46"/>
        <v>32</v>
      </c>
      <c r="AA20" t="s">
        <v>22</v>
      </c>
      <c r="AB20">
        <f t="shared" si="0"/>
        <v>116</v>
      </c>
      <c r="AC20">
        <f t="shared" si="1"/>
        <v>0</v>
      </c>
      <c r="AD20">
        <f t="shared" si="2"/>
        <v>116</v>
      </c>
      <c r="AE20">
        <f t="shared" si="3"/>
        <v>152</v>
      </c>
      <c r="AG20" t="s">
        <v>22</v>
      </c>
      <c r="AH20">
        <f>SUMIF($F$37:$F$123,AG20,$O$37:$O$123)</f>
        <v>148</v>
      </c>
      <c r="AI20">
        <f t="shared" si="4"/>
        <v>0</v>
      </c>
      <c r="AJ20">
        <f t="shared" si="5"/>
        <v>284</v>
      </c>
      <c r="AK20">
        <f t="shared" si="6"/>
        <v>28</v>
      </c>
      <c r="AM20" t="s">
        <v>22</v>
      </c>
      <c r="AN20">
        <f t="shared" si="7"/>
        <v>28</v>
      </c>
      <c r="AO20">
        <f t="shared" si="8"/>
        <v>0</v>
      </c>
      <c r="AP20">
        <f t="shared" si="9"/>
        <v>56</v>
      </c>
      <c r="AQ20">
        <f t="shared" si="10"/>
        <v>0</v>
      </c>
      <c r="AS20" t="s">
        <v>22</v>
      </c>
      <c r="AT20">
        <f t="shared" si="11"/>
        <v>24</v>
      </c>
      <c r="AU20">
        <f t="shared" si="12"/>
        <v>24</v>
      </c>
      <c r="AV20">
        <f t="shared" si="13"/>
        <v>24</v>
      </c>
      <c r="AW20">
        <f t="shared" si="14"/>
        <v>24</v>
      </c>
      <c r="AY20" t="s">
        <v>22</v>
      </c>
      <c r="AZ20">
        <f t="shared" si="15"/>
        <v>24</v>
      </c>
      <c r="BA20">
        <f t="shared" si="16"/>
        <v>0</v>
      </c>
      <c r="BB20">
        <f t="shared" si="17"/>
        <v>48</v>
      </c>
      <c r="BC20">
        <f t="shared" si="18"/>
        <v>0</v>
      </c>
      <c r="BE20" t="s">
        <v>22</v>
      </c>
      <c r="BF20">
        <f t="shared" si="19"/>
        <v>24</v>
      </c>
      <c r="BG20">
        <f t="shared" si="20"/>
        <v>0</v>
      </c>
      <c r="BH20">
        <f t="shared" si="21"/>
        <v>48</v>
      </c>
      <c r="BI20">
        <f t="shared" si="22"/>
        <v>0</v>
      </c>
      <c r="BK20" t="s">
        <v>22</v>
      </c>
      <c r="BL20">
        <f t="shared" si="23"/>
        <v>110</v>
      </c>
      <c r="BM20">
        <f t="shared" si="24"/>
        <v>0</v>
      </c>
      <c r="BN20">
        <f t="shared" si="25"/>
        <v>202</v>
      </c>
      <c r="BO20">
        <f t="shared" si="26"/>
        <v>0</v>
      </c>
      <c r="BQ20" t="s">
        <v>22</v>
      </c>
      <c r="BR20">
        <f t="shared" si="27"/>
        <v>764</v>
      </c>
      <c r="BS20">
        <f t="shared" si="28"/>
        <v>0</v>
      </c>
      <c r="BT20">
        <f t="shared" si="29"/>
        <v>1528</v>
      </c>
      <c r="BU20">
        <f t="shared" si="30"/>
        <v>0</v>
      </c>
      <c r="BW20" t="s">
        <v>22</v>
      </c>
      <c r="BX20">
        <f t="shared" si="31"/>
        <v>60</v>
      </c>
      <c r="BY20">
        <f t="shared" si="32"/>
        <v>0</v>
      </c>
      <c r="BZ20">
        <f t="shared" si="33"/>
        <v>60</v>
      </c>
      <c r="CA20">
        <f t="shared" si="34"/>
        <v>30</v>
      </c>
      <c r="CC20" t="s">
        <v>22</v>
      </c>
      <c r="CD20">
        <f t="shared" si="35"/>
        <v>1298</v>
      </c>
      <c r="CE20">
        <f t="shared" si="36"/>
        <v>24</v>
      </c>
      <c r="CF20">
        <f t="shared" si="37"/>
        <v>2366</v>
      </c>
      <c r="CG20">
        <f t="shared" si="38"/>
        <v>234</v>
      </c>
      <c r="CI20" t="s">
        <v>444</v>
      </c>
      <c r="CJ20" s="183">
        <f t="shared" si="39"/>
        <v>0</v>
      </c>
      <c r="CK20" s="181"/>
      <c r="CL20" s="181"/>
      <c r="CM20" s="181"/>
      <c r="CO20" t="s">
        <v>445</v>
      </c>
      <c r="CP20" s="183">
        <f t="shared" si="40"/>
        <v>0</v>
      </c>
      <c r="CQ20" s="181"/>
      <c r="CR20" s="181"/>
      <c r="CS20" s="181"/>
      <c r="CU20" t="s">
        <v>446</v>
      </c>
      <c r="CV20" s="183">
        <f t="shared" si="41"/>
        <v>0</v>
      </c>
      <c r="CW20" s="181"/>
      <c r="CX20" s="181"/>
      <c r="CY20" s="181"/>
      <c r="DA20" t="s">
        <v>447</v>
      </c>
      <c r="DB20" s="183">
        <f t="shared" si="42"/>
        <v>0</v>
      </c>
      <c r="DC20" s="181"/>
      <c r="DD20" s="181"/>
      <c r="DE20" s="181"/>
    </row>
    <row r="21" spans="1:109" x14ac:dyDescent="0.25">
      <c r="B21" s="79" t="s">
        <v>448</v>
      </c>
      <c r="C21" s="73">
        <v>1</v>
      </c>
      <c r="D21" s="29" t="s">
        <v>87</v>
      </c>
      <c r="E21" s="29" t="s">
        <v>418</v>
      </c>
      <c r="F21" s="29" t="s">
        <v>23</v>
      </c>
      <c r="G21" s="29">
        <v>20</v>
      </c>
      <c r="H21" s="29">
        <v>5</v>
      </c>
      <c r="I21" s="29">
        <v>20</v>
      </c>
      <c r="J21" s="29">
        <f t="shared" si="47"/>
        <v>26</v>
      </c>
      <c r="K21" s="29">
        <f t="shared" si="43"/>
        <v>76</v>
      </c>
      <c r="L21" s="29">
        <f t="shared" si="48"/>
        <v>80</v>
      </c>
      <c r="M21" s="78" t="str">
        <f t="shared" si="44"/>
        <v>M20x80-HDG-8.8</v>
      </c>
      <c r="N21" s="29">
        <f>C21*16</f>
        <v>16</v>
      </c>
      <c r="O21" s="29">
        <f>C21*16</f>
        <v>16</v>
      </c>
      <c r="P21" s="29">
        <v>0</v>
      </c>
      <c r="Q21" s="29">
        <f t="shared" si="45"/>
        <v>16</v>
      </c>
      <c r="R21" s="29">
        <f t="shared" si="46"/>
        <v>32</v>
      </c>
      <c r="AA21" t="s">
        <v>23</v>
      </c>
      <c r="AB21">
        <f t="shared" si="0"/>
        <v>104</v>
      </c>
      <c r="AC21">
        <f t="shared" si="1"/>
        <v>0</v>
      </c>
      <c r="AD21">
        <f t="shared" si="2"/>
        <v>104</v>
      </c>
      <c r="AE21">
        <f t="shared" si="3"/>
        <v>144</v>
      </c>
      <c r="AG21" t="s">
        <v>23</v>
      </c>
      <c r="AH21">
        <f>SUMIF($F$37:$F$123,AG21,$O$37:$O$123)</f>
        <v>18</v>
      </c>
      <c r="AI21">
        <f t="shared" si="4"/>
        <v>16</v>
      </c>
      <c r="AJ21">
        <f t="shared" si="5"/>
        <v>36</v>
      </c>
      <c r="AK21">
        <f t="shared" si="6"/>
        <v>0</v>
      </c>
      <c r="AM21" t="s">
        <v>23</v>
      </c>
      <c r="AN21">
        <f t="shared" si="7"/>
        <v>0</v>
      </c>
      <c r="AO21">
        <f t="shared" si="8"/>
        <v>0</v>
      </c>
      <c r="AP21">
        <f t="shared" si="9"/>
        <v>0</v>
      </c>
      <c r="AQ21">
        <f t="shared" si="10"/>
        <v>0</v>
      </c>
      <c r="AS21" t="s">
        <v>23</v>
      </c>
      <c r="AT21">
        <f t="shared" si="11"/>
        <v>1</v>
      </c>
      <c r="AU21">
        <f t="shared" si="12"/>
        <v>1</v>
      </c>
      <c r="AV21">
        <f t="shared" si="13"/>
        <v>1</v>
      </c>
      <c r="AW21">
        <f t="shared" si="14"/>
        <v>1</v>
      </c>
      <c r="AY21" t="s">
        <v>23</v>
      </c>
      <c r="AZ21">
        <f t="shared" si="15"/>
        <v>1</v>
      </c>
      <c r="BA21">
        <f t="shared" si="16"/>
        <v>0</v>
      </c>
      <c r="BB21">
        <f t="shared" si="17"/>
        <v>2</v>
      </c>
      <c r="BC21">
        <f t="shared" si="18"/>
        <v>0</v>
      </c>
      <c r="BE21" t="s">
        <v>23</v>
      </c>
      <c r="BF21">
        <f t="shared" si="19"/>
        <v>1</v>
      </c>
      <c r="BG21">
        <f t="shared" si="20"/>
        <v>0</v>
      </c>
      <c r="BH21">
        <f t="shared" si="21"/>
        <v>2</v>
      </c>
      <c r="BI21">
        <f t="shared" si="22"/>
        <v>0</v>
      </c>
      <c r="BK21" t="s">
        <v>23</v>
      </c>
      <c r="BL21">
        <f t="shared" si="23"/>
        <v>120</v>
      </c>
      <c r="BM21">
        <f t="shared" si="24"/>
        <v>0</v>
      </c>
      <c r="BN21">
        <f t="shared" si="25"/>
        <v>240</v>
      </c>
      <c r="BO21">
        <f t="shared" si="26"/>
        <v>0</v>
      </c>
      <c r="BQ21" t="s">
        <v>23</v>
      </c>
      <c r="BR21">
        <f t="shared" si="27"/>
        <v>0</v>
      </c>
      <c r="BS21">
        <f t="shared" si="28"/>
        <v>0</v>
      </c>
      <c r="BT21">
        <f t="shared" si="29"/>
        <v>0</v>
      </c>
      <c r="BU21">
        <f t="shared" si="30"/>
        <v>0</v>
      </c>
      <c r="BW21" t="s">
        <v>23</v>
      </c>
      <c r="BX21">
        <f t="shared" si="31"/>
        <v>40</v>
      </c>
      <c r="BY21">
        <f t="shared" si="32"/>
        <v>0</v>
      </c>
      <c r="BZ21">
        <f t="shared" si="33"/>
        <v>40</v>
      </c>
      <c r="CA21">
        <f t="shared" si="34"/>
        <v>20</v>
      </c>
      <c r="CC21" t="s">
        <v>23</v>
      </c>
      <c r="CD21">
        <f t="shared" si="35"/>
        <v>285</v>
      </c>
      <c r="CE21">
        <f t="shared" si="36"/>
        <v>17</v>
      </c>
      <c r="CF21">
        <f t="shared" si="37"/>
        <v>425</v>
      </c>
      <c r="CG21">
        <f t="shared" si="38"/>
        <v>165</v>
      </c>
      <c r="CI21" t="s">
        <v>449</v>
      </c>
      <c r="CJ21" s="183">
        <f t="shared" si="39"/>
        <v>0</v>
      </c>
      <c r="CK21" s="181"/>
      <c r="CL21" s="181"/>
      <c r="CM21" s="181"/>
      <c r="CO21" t="s">
        <v>450</v>
      </c>
      <c r="CP21" s="183">
        <f t="shared" si="40"/>
        <v>0</v>
      </c>
      <c r="CQ21" s="181"/>
      <c r="CR21" s="181"/>
      <c r="CS21" s="181"/>
      <c r="CU21" t="s">
        <v>451</v>
      </c>
      <c r="CV21" s="183">
        <f t="shared" si="41"/>
        <v>0</v>
      </c>
      <c r="CW21" s="181"/>
      <c r="CX21" s="181"/>
      <c r="CY21" s="181"/>
      <c r="DA21" t="s">
        <v>452</v>
      </c>
      <c r="DB21" s="183">
        <f t="shared" si="42"/>
        <v>0</v>
      </c>
      <c r="DC21" s="181"/>
      <c r="DD21" s="181"/>
      <c r="DE21" s="181"/>
    </row>
    <row r="22" spans="1:109" x14ac:dyDescent="0.25">
      <c r="B22" s="79" t="s">
        <v>453</v>
      </c>
      <c r="C22" s="73">
        <v>1</v>
      </c>
      <c r="D22" s="29" t="s">
        <v>87</v>
      </c>
      <c r="E22" s="29" t="s">
        <v>418</v>
      </c>
      <c r="F22" s="29" t="s">
        <v>23</v>
      </c>
      <c r="G22" s="29">
        <v>20</v>
      </c>
      <c r="H22" s="29">
        <v>5</v>
      </c>
      <c r="I22" s="29">
        <v>20</v>
      </c>
      <c r="J22" s="29">
        <f t="shared" si="47"/>
        <v>26</v>
      </c>
      <c r="K22" s="29">
        <f t="shared" si="43"/>
        <v>76</v>
      </c>
      <c r="L22" s="29">
        <f t="shared" si="48"/>
        <v>80</v>
      </c>
      <c r="M22" s="78" t="str">
        <f t="shared" si="44"/>
        <v>M20x80-HDG-8.8</v>
      </c>
      <c r="N22" s="29">
        <f>C22*16</f>
        <v>16</v>
      </c>
      <c r="O22" s="29">
        <f>C22*16</f>
        <v>16</v>
      </c>
      <c r="P22" s="29">
        <v>0</v>
      </c>
      <c r="Q22" s="29">
        <f t="shared" si="45"/>
        <v>16</v>
      </c>
      <c r="R22" s="29">
        <f t="shared" si="46"/>
        <v>32</v>
      </c>
      <c r="AA22" t="s">
        <v>24</v>
      </c>
      <c r="AB22">
        <f t="shared" si="0"/>
        <v>0</v>
      </c>
      <c r="AC22">
        <f t="shared" si="1"/>
        <v>0</v>
      </c>
      <c r="AD22">
        <f t="shared" si="2"/>
        <v>0</v>
      </c>
      <c r="AE22">
        <f t="shared" si="3"/>
        <v>0</v>
      </c>
      <c r="AG22" t="s">
        <v>24</v>
      </c>
      <c r="AH22">
        <f>SUMIF($F$37:$F$123,AG22,$O$37:$O$123)</f>
        <v>127</v>
      </c>
      <c r="AI22">
        <f t="shared" si="4"/>
        <v>0</v>
      </c>
      <c r="AJ22">
        <f t="shared" si="5"/>
        <v>254</v>
      </c>
      <c r="AK22">
        <f t="shared" si="6"/>
        <v>0</v>
      </c>
      <c r="AM22" t="s">
        <v>24</v>
      </c>
      <c r="AN22">
        <f t="shared" si="7"/>
        <v>0</v>
      </c>
      <c r="AO22">
        <f t="shared" si="8"/>
        <v>0</v>
      </c>
      <c r="AP22">
        <f t="shared" si="9"/>
        <v>0</v>
      </c>
      <c r="AQ22">
        <f t="shared" si="10"/>
        <v>0</v>
      </c>
      <c r="AS22" t="s">
        <v>24</v>
      </c>
      <c r="AT22">
        <f t="shared" si="11"/>
        <v>0</v>
      </c>
      <c r="AU22">
        <f t="shared" si="12"/>
        <v>0</v>
      </c>
      <c r="AV22">
        <f t="shared" si="13"/>
        <v>0</v>
      </c>
      <c r="AW22">
        <f t="shared" si="14"/>
        <v>0</v>
      </c>
      <c r="AY22" t="s">
        <v>24</v>
      </c>
      <c r="AZ22">
        <f t="shared" si="15"/>
        <v>0</v>
      </c>
      <c r="BA22">
        <f t="shared" si="16"/>
        <v>0</v>
      </c>
      <c r="BB22">
        <f t="shared" si="17"/>
        <v>0</v>
      </c>
      <c r="BC22">
        <f t="shared" si="18"/>
        <v>0</v>
      </c>
      <c r="BE22" t="s">
        <v>24</v>
      </c>
      <c r="BF22">
        <f t="shared" si="19"/>
        <v>0</v>
      </c>
      <c r="BG22">
        <f t="shared" si="20"/>
        <v>0</v>
      </c>
      <c r="BH22">
        <f t="shared" si="21"/>
        <v>0</v>
      </c>
      <c r="BI22">
        <f t="shared" si="22"/>
        <v>0</v>
      </c>
      <c r="BK22" t="s">
        <v>24</v>
      </c>
      <c r="BL22">
        <f t="shared" si="23"/>
        <v>0</v>
      </c>
      <c r="BM22">
        <f t="shared" si="24"/>
        <v>0</v>
      </c>
      <c r="BN22">
        <f t="shared" si="25"/>
        <v>0</v>
      </c>
      <c r="BO22">
        <f t="shared" si="26"/>
        <v>0</v>
      </c>
      <c r="BQ22" t="s">
        <v>24</v>
      </c>
      <c r="BR22">
        <f t="shared" si="27"/>
        <v>0</v>
      </c>
      <c r="BS22">
        <f t="shared" si="28"/>
        <v>0</v>
      </c>
      <c r="BT22">
        <f t="shared" si="29"/>
        <v>0</v>
      </c>
      <c r="BU22">
        <f t="shared" si="30"/>
        <v>0</v>
      </c>
      <c r="BW22" t="s">
        <v>24</v>
      </c>
      <c r="BX22">
        <f t="shared" si="31"/>
        <v>20</v>
      </c>
      <c r="BY22">
        <f t="shared" si="32"/>
        <v>0</v>
      </c>
      <c r="BZ22">
        <f t="shared" si="33"/>
        <v>20</v>
      </c>
      <c r="CA22">
        <f t="shared" si="34"/>
        <v>10</v>
      </c>
      <c r="CC22" t="s">
        <v>24</v>
      </c>
      <c r="CD22">
        <f t="shared" si="35"/>
        <v>147</v>
      </c>
      <c r="CE22">
        <f t="shared" si="36"/>
        <v>0</v>
      </c>
      <c r="CF22">
        <f t="shared" si="37"/>
        <v>274</v>
      </c>
      <c r="CG22">
        <f t="shared" si="38"/>
        <v>10</v>
      </c>
      <c r="CI22" t="s">
        <v>454</v>
      </c>
      <c r="CJ22" s="183">
        <f t="shared" si="39"/>
        <v>0</v>
      </c>
      <c r="CK22" s="181"/>
      <c r="CL22" s="181"/>
      <c r="CM22" s="181"/>
      <c r="CO22" t="s">
        <v>455</v>
      </c>
      <c r="CP22" s="183">
        <f t="shared" si="40"/>
        <v>0</v>
      </c>
      <c r="CQ22" s="181"/>
      <c r="CR22" s="181"/>
      <c r="CS22" s="181"/>
      <c r="CU22" t="s">
        <v>456</v>
      </c>
      <c r="CV22" s="183">
        <f t="shared" si="41"/>
        <v>0</v>
      </c>
      <c r="CW22" s="181"/>
      <c r="CX22" s="181"/>
      <c r="CY22" s="181"/>
      <c r="DA22" t="s">
        <v>457</v>
      </c>
      <c r="DB22" s="183">
        <f t="shared" si="42"/>
        <v>0</v>
      </c>
      <c r="DC22" s="181"/>
      <c r="DD22" s="181"/>
      <c r="DE22" s="181"/>
    </row>
    <row r="23" spans="1:109" x14ac:dyDescent="0.25">
      <c r="B23" s="79" t="s">
        <v>458</v>
      </c>
      <c r="C23" s="73">
        <v>1</v>
      </c>
      <c r="D23" s="29" t="s">
        <v>459</v>
      </c>
      <c r="E23" s="29" t="s">
        <v>418</v>
      </c>
      <c r="F23" s="29" t="s">
        <v>22</v>
      </c>
      <c r="G23" s="29">
        <v>16</v>
      </c>
      <c r="H23" s="29">
        <v>45</v>
      </c>
      <c r="I23" s="29">
        <v>16</v>
      </c>
      <c r="J23" s="29">
        <f>IF(F23=$K$1,$K$2*3+$K$3+$K$5,
IF(F23=$L$1,$L$2*3+$L$3+$L$5,
IF(F23=$M$1,$M$2*3+$M$3+$M$5,
IF(F23=$N$1,$N$2*3+$N$3+$N$5,
IF(F23=$O$1,$O$2*3+$O$3+$O$5,
IF(F23=$P$1,$P$2*3+$P$3+$P$5,
IF(F23=$Q$1,$Q$2*3+$Q$3+$Q$5,
IF(F23=$R$1,$R$2*3+$R$3+$R$5,
IF(F23=$S$1,$S$2*3+$S$3+$S$5,"")))))))))</f>
        <v>52.400000000000006</v>
      </c>
      <c r="K23" s="29">
        <f t="shared" si="43"/>
        <v>134.4</v>
      </c>
      <c r="L23" s="29">
        <f t="shared" si="48"/>
        <v>140</v>
      </c>
      <c r="M23" s="78" t="str">
        <f>(CONCATENATE(F23, "-STUD","x",L23,"-",IF(F22=$K$1,$C$4,IF(F22=$L$1,$C$4,IF(F22=$M$1,$C$4,IF(F22=$N$1,$C$4,IF(F22=$O$1,$C$4,IF(F22=$P$1,$C$5,IF(F22=$Q$1,$C$5,IF(F22=$R$1,$C$5,0))))))))))</f>
        <v>M16-STUDx140-HDG-8.8</v>
      </c>
      <c r="N23" s="29">
        <f>C23*4</f>
        <v>4</v>
      </c>
      <c r="O23" s="29">
        <f>N23*3</f>
        <v>12</v>
      </c>
      <c r="P23" s="29">
        <v>0</v>
      </c>
      <c r="Q23" s="29">
        <f>C23*4*3</f>
        <v>12</v>
      </c>
      <c r="R23" s="29">
        <f t="shared" si="46"/>
        <v>8</v>
      </c>
      <c r="CI23" t="s">
        <v>460</v>
      </c>
      <c r="CJ23" s="183">
        <f t="shared" si="39"/>
        <v>0</v>
      </c>
      <c r="CK23" s="181"/>
      <c r="CL23" s="181"/>
      <c r="CM23" s="181"/>
      <c r="CO23" t="s">
        <v>461</v>
      </c>
      <c r="CP23" s="183">
        <f t="shared" si="40"/>
        <v>2</v>
      </c>
      <c r="CQ23" s="181"/>
      <c r="CR23" s="181"/>
      <c r="CS23" s="181"/>
      <c r="CU23" t="s">
        <v>462</v>
      </c>
      <c r="CV23" s="183">
        <f t="shared" si="41"/>
        <v>0</v>
      </c>
      <c r="CW23" s="181"/>
      <c r="CX23" s="181"/>
      <c r="CY23" s="181"/>
      <c r="DA23" t="s">
        <v>463</v>
      </c>
      <c r="DB23" s="183">
        <f t="shared" si="42"/>
        <v>0</v>
      </c>
      <c r="DC23" s="181"/>
      <c r="DD23" s="181"/>
      <c r="DE23" s="181"/>
    </row>
    <row r="24" spans="1:109" x14ac:dyDescent="0.25">
      <c r="B24" s="79" t="s">
        <v>464</v>
      </c>
      <c r="C24" s="73">
        <v>1</v>
      </c>
      <c r="D24" s="29" t="s">
        <v>459</v>
      </c>
      <c r="E24" s="29" t="s">
        <v>418</v>
      </c>
      <c r="F24" s="29" t="s">
        <v>22</v>
      </c>
      <c r="G24" s="29">
        <v>16</v>
      </c>
      <c r="H24" s="29">
        <v>45</v>
      </c>
      <c r="I24" s="29">
        <v>16</v>
      </c>
      <c r="J24" s="29">
        <f>IF(F24=$K$1,$K$2*3+$K$3+$K$5,
IF(F24=$L$1,$L$2*3+$L$3+$L$5,
IF(F24=$M$1,$M$2*3+$M$3+$M$5,
IF(F24=$N$1,$N$2*3+$N$3+$N$5,
IF(F24=$O$1,$O$2*3+$O$3+$O$5,
IF(F24=$P$1,$P$2*3+$P$3+$P$5,
IF(F24=$Q$1,$Q$2*3+$Q$3+$Q$5,
IF(F24=$R$1,$R$2*3+$R$3+$R$5,
IF(F24=$S$1,$S$2*3+$S$3+$S$5,"")))))))))</f>
        <v>52.400000000000006</v>
      </c>
      <c r="K24" s="29">
        <f t="shared" si="43"/>
        <v>134.4</v>
      </c>
      <c r="L24" s="29">
        <f t="shared" si="48"/>
        <v>140</v>
      </c>
      <c r="M24" s="78" t="str">
        <f>(CONCATENATE(F24, "-STUD","x",L24,"-",IF(F23=$K$1,$C$4,IF(F23=$L$1,$C$4,IF(F23=$M$1,$C$4,IF(F23=$N$1,$C$4,IF(F23=$O$1,$C$4,IF(F23=$P$1,$C$5,IF(F23=$Q$1,$C$5,IF(F23=$R$1,$C$5,0))))))))))</f>
        <v>M16-STUDx140-HDG-8.8</v>
      </c>
      <c r="N24" s="29">
        <f>C24*8</f>
        <v>8</v>
      </c>
      <c r="O24" s="29">
        <f>N24*3</f>
        <v>24</v>
      </c>
      <c r="P24" s="29">
        <v>0</v>
      </c>
      <c r="Q24" s="29">
        <f>C24*8*3</f>
        <v>24</v>
      </c>
      <c r="R24" s="29">
        <f t="shared" si="46"/>
        <v>16</v>
      </c>
      <c r="CI24" t="s">
        <v>465</v>
      </c>
      <c r="CJ24" s="183">
        <f t="shared" si="39"/>
        <v>0</v>
      </c>
      <c r="CK24" s="181"/>
      <c r="CL24" s="181"/>
      <c r="CM24" s="181"/>
      <c r="CO24" t="s">
        <v>466</v>
      </c>
      <c r="CP24" s="183">
        <f t="shared" si="40"/>
        <v>0</v>
      </c>
      <c r="CQ24" s="181"/>
      <c r="CR24" s="181"/>
      <c r="CS24" s="181"/>
      <c r="CU24" t="s">
        <v>467</v>
      </c>
      <c r="CV24" s="183">
        <f t="shared" si="41"/>
        <v>0</v>
      </c>
      <c r="CW24" s="181"/>
      <c r="CX24" s="181"/>
      <c r="CY24" s="181"/>
      <c r="DA24" t="s">
        <v>468</v>
      </c>
      <c r="DB24" s="183">
        <f t="shared" si="42"/>
        <v>0</v>
      </c>
      <c r="DC24" s="181"/>
      <c r="DD24" s="181"/>
      <c r="DE24" s="181"/>
    </row>
    <row r="25" spans="1:109" x14ac:dyDescent="0.25">
      <c r="B25" s="79" t="s">
        <v>469</v>
      </c>
      <c r="C25" s="73">
        <v>1</v>
      </c>
      <c r="D25" s="29" t="s">
        <v>459</v>
      </c>
      <c r="E25" s="29" t="s">
        <v>418</v>
      </c>
      <c r="F25" s="29" t="s">
        <v>22</v>
      </c>
      <c r="G25" s="29">
        <v>20</v>
      </c>
      <c r="H25" s="29">
        <v>45</v>
      </c>
      <c r="I25" s="29">
        <v>20</v>
      </c>
      <c r="J25" s="29">
        <f>IF(F25=$K$1,$K$2*3+$K$3+$K$5,
IF(F25=$L$1,$L$2*3+$L$3+$L$5,
IF(F25=$M$1,$M$2*3+$M$3+$M$5,
IF(F25=$N$1,$N$2*3+$N$3+$N$5,
IF(F25=$O$1,$O$2*3+$O$3+$O$5,
IF(F25=$P$1,$P$2*3+$P$3+$P$5,
IF(F25=$Q$1,$Q$2*3+$Q$3+$Q$5,
IF(F25=$R$1,$R$2*3+$R$3+$R$5,
IF(F25=$S$1,$S$2*3+$S$3+$S$5,"")))))))))</f>
        <v>52.400000000000006</v>
      </c>
      <c r="K25" s="29">
        <f t="shared" si="43"/>
        <v>142.4</v>
      </c>
      <c r="L25" s="29">
        <f t="shared" si="48"/>
        <v>150</v>
      </c>
      <c r="M25" s="78" t="str">
        <f>(CONCATENATE(F25, "-STUD","x",L25,"-",IF(F24=$K$1,$C$4,IF(F24=$L$1,$C$4,IF(F24=$M$1,$C$4,IF(F24=$N$1,$C$4,IF(F24=$O$1,$C$4,IF(F24=$P$1,$C$5,IF(F24=$Q$1,$C$5,IF(F24=$R$1,$C$5,0))))))))))</f>
        <v>M16-STUDx150-HDG-8.8</v>
      </c>
      <c r="N25" s="29">
        <f>C25*8</f>
        <v>8</v>
      </c>
      <c r="O25" s="29">
        <f>N25*3</f>
        <v>24</v>
      </c>
      <c r="P25" s="29">
        <v>0</v>
      </c>
      <c r="Q25" s="29">
        <f>C25*8*3</f>
        <v>24</v>
      </c>
      <c r="R25" s="29">
        <f t="shared" si="46"/>
        <v>16</v>
      </c>
      <c r="CI25" t="s">
        <v>470</v>
      </c>
      <c r="CJ25" s="183">
        <f t="shared" si="39"/>
        <v>0</v>
      </c>
      <c r="CK25" s="181"/>
      <c r="CL25" s="181"/>
      <c r="CM25" s="181"/>
      <c r="CO25" t="s">
        <v>471</v>
      </c>
      <c r="CP25" s="183">
        <f t="shared" si="40"/>
        <v>0</v>
      </c>
      <c r="CQ25" s="181"/>
      <c r="CR25" s="181"/>
      <c r="CS25" s="181"/>
      <c r="CU25" t="s">
        <v>472</v>
      </c>
      <c r="CV25" s="183">
        <f t="shared" si="41"/>
        <v>0</v>
      </c>
      <c r="CW25" s="181"/>
      <c r="CX25" s="181"/>
      <c r="CY25" s="181"/>
      <c r="DA25" t="s">
        <v>473</v>
      </c>
      <c r="DB25" s="183">
        <f t="shared" si="42"/>
        <v>0</v>
      </c>
      <c r="DC25" s="181"/>
      <c r="DD25" s="181"/>
      <c r="DE25" s="181"/>
    </row>
    <row r="26" spans="1:109" x14ac:dyDescent="0.25">
      <c r="B26" s="79" t="s">
        <v>474</v>
      </c>
      <c r="C26" s="73">
        <v>1</v>
      </c>
      <c r="D26" s="29" t="s">
        <v>459</v>
      </c>
      <c r="E26" s="29" t="s">
        <v>418</v>
      </c>
      <c r="F26" s="29" t="s">
        <v>23</v>
      </c>
      <c r="G26" s="29">
        <v>20</v>
      </c>
      <c r="H26" s="29">
        <v>45</v>
      </c>
      <c r="I26" s="29">
        <v>20</v>
      </c>
      <c r="J26" s="29">
        <f>IF(F26=$K$1,$K$2*3+$K$3+$K$5,
IF(F26=$L$1,$L$2*3+$L$3+$L$5,
IF(F26=$M$1,$M$2*3+$M$3+$M$5,
IF(F26=$N$1,$N$2*3+$N$3+$N$5,
IF(F26=$O$1,$O$2*3+$O$3+$O$5,
IF(F26=$P$1,$P$2*3+$P$3+$P$5,
IF(F26=$Q$1,$Q$2*3+$Q$3+$Q$5,
IF(F26=$R$1,$R$2*3+$R$3+$R$5,
IF(F26=$S$1,$S$2*3+$S$3+$S$5,"")))))))))</f>
        <v>62</v>
      </c>
      <c r="K26" s="29">
        <f t="shared" si="43"/>
        <v>152</v>
      </c>
      <c r="L26" s="29">
        <f t="shared" si="48"/>
        <v>160</v>
      </c>
      <c r="M26" s="78" t="str">
        <f>(CONCATENATE(F26, "-STUD","x",L26,"-",IF(F25=$K$1,$C$4,IF(F25=$L$1,$C$4,IF(F25=$M$1,$C$4,IF(F25=$N$1,$C$4,IF(F25=$O$1,$C$4,IF(F25=$P$1,$C$5,IF(F25=$Q$1,$C$5,IF(F25=$R$1,$C$5,0))))))))))</f>
        <v>M20-STUDx160-HDG-8.8</v>
      </c>
      <c r="N26" s="29">
        <f>C26*8</f>
        <v>8</v>
      </c>
      <c r="O26" s="29">
        <f>N26*3</f>
        <v>24</v>
      </c>
      <c r="P26" s="29">
        <v>0</v>
      </c>
      <c r="Q26" s="29">
        <f>C26*8*3</f>
        <v>24</v>
      </c>
      <c r="R26" s="29">
        <f t="shared" si="46"/>
        <v>16</v>
      </c>
      <c r="CI26" t="s">
        <v>475</v>
      </c>
      <c r="CJ26" s="183">
        <f t="shared" si="39"/>
        <v>0</v>
      </c>
      <c r="CK26" s="181"/>
      <c r="CL26" s="181"/>
      <c r="CM26" s="181"/>
      <c r="CO26" t="s">
        <v>476</v>
      </c>
      <c r="CP26" s="183">
        <f t="shared" si="40"/>
        <v>0</v>
      </c>
      <c r="CQ26" s="181"/>
      <c r="CR26" s="181"/>
      <c r="CS26" s="181"/>
      <c r="CU26" t="s">
        <v>477</v>
      </c>
      <c r="CV26" s="183">
        <f t="shared" si="41"/>
        <v>0</v>
      </c>
      <c r="CW26" s="181"/>
      <c r="CX26" s="181"/>
      <c r="CY26" s="181"/>
      <c r="DA26" t="s">
        <v>478</v>
      </c>
      <c r="DB26" s="183">
        <f t="shared" si="42"/>
        <v>0</v>
      </c>
      <c r="DC26" s="181"/>
      <c r="DD26" s="181"/>
      <c r="DE26" s="181"/>
    </row>
    <row r="27" spans="1:109" x14ac:dyDescent="0.25">
      <c r="B27" s="79" t="s">
        <v>479</v>
      </c>
      <c r="C27" s="73">
        <v>1</v>
      </c>
      <c r="D27" s="29" t="s">
        <v>459</v>
      </c>
      <c r="E27" s="29" t="s">
        <v>418</v>
      </c>
      <c r="F27" s="29" t="s">
        <v>23</v>
      </c>
      <c r="G27" s="29">
        <v>20</v>
      </c>
      <c r="H27" s="29">
        <v>45</v>
      </c>
      <c r="I27" s="29">
        <v>20</v>
      </c>
      <c r="J27" s="29">
        <f>IF(F27=$K$1,$K$2*3+$K$3+$K$5,
IF(F27=$L$1,$L$2*3+$L$3+$L$5,
IF(F27=$M$1,$M$2*3+$M$3+$M$5,
IF(F27=$N$1,$N$2*3+$N$3+$N$5,
IF(F27=$O$1,$O$2*3+$O$3+$O$5,
IF(F27=$P$1,$P$2*3+$P$3+$P$5,
IF(F27=$Q$1,$Q$2*3+$Q$3+$Q$5,
IF(F27=$R$1,$R$2*3+$R$3+$R$5,
IF(F27=$S$1,$S$2*3+$S$3+$S$5,"")))))))))</f>
        <v>62</v>
      </c>
      <c r="K27" s="29">
        <f t="shared" si="43"/>
        <v>152</v>
      </c>
      <c r="L27" s="29">
        <f t="shared" si="48"/>
        <v>160</v>
      </c>
      <c r="M27" s="78" t="str">
        <f>(CONCATENATE(F27, "-STUD","x",L27,"-",IF(F26=$K$1,$C$4,IF(F26=$L$1,$C$4,IF(F26=$M$1,$C$4,IF(F26=$N$1,$C$4,IF(F26=$O$1,$C$4,IF(F26=$P$1,$C$5,IF(F26=$Q$1,$C$5,IF(F26=$R$1,$C$5,0))))))))))</f>
        <v>M20-STUDx160-HDG-8.8</v>
      </c>
      <c r="N27" s="29">
        <f>C27*8</f>
        <v>8</v>
      </c>
      <c r="O27" s="29">
        <f>N27*3</f>
        <v>24</v>
      </c>
      <c r="P27" s="29">
        <v>0</v>
      </c>
      <c r="Q27" s="29">
        <f>C27*8*3</f>
        <v>24</v>
      </c>
      <c r="R27" s="29">
        <f t="shared" si="46"/>
        <v>16</v>
      </c>
      <c r="CI27" t="s">
        <v>480</v>
      </c>
      <c r="CJ27" s="183">
        <f t="shared" si="39"/>
        <v>0</v>
      </c>
      <c r="CK27" s="181"/>
      <c r="CL27" s="181"/>
      <c r="CM27" s="181"/>
      <c r="CO27" t="s">
        <v>481</v>
      </c>
      <c r="CP27" s="183">
        <f t="shared" si="40"/>
        <v>0</v>
      </c>
      <c r="CQ27" s="181"/>
      <c r="CR27" s="181"/>
      <c r="CS27" s="181"/>
      <c r="CU27" t="s">
        <v>482</v>
      </c>
      <c r="CV27" s="183">
        <f t="shared" si="41"/>
        <v>0</v>
      </c>
      <c r="CW27" s="181"/>
      <c r="CX27" s="181"/>
      <c r="CY27" s="181"/>
      <c r="DA27" t="s">
        <v>483</v>
      </c>
      <c r="DB27" s="183">
        <f t="shared" si="42"/>
        <v>0</v>
      </c>
      <c r="DC27" s="181"/>
      <c r="DD27" s="181"/>
      <c r="DE27" s="181"/>
    </row>
    <row r="28" spans="1:109" x14ac:dyDescent="0.25">
      <c r="B28" s="134" t="s">
        <v>484</v>
      </c>
      <c r="C28" s="73">
        <v>1</v>
      </c>
      <c r="D28" s="29" t="s">
        <v>87</v>
      </c>
      <c r="E28" s="29" t="s">
        <v>418</v>
      </c>
      <c r="F28" s="29" t="s">
        <v>21</v>
      </c>
      <c r="G28" s="29">
        <v>10</v>
      </c>
      <c r="H28" s="29">
        <v>6</v>
      </c>
      <c r="I28" s="29">
        <v>10</v>
      </c>
      <c r="J28" s="29">
        <f t="shared" ref="J28:J34" si="49">IF(F28=$K$1,$K$2+$K$3+$K$5,
IF(F28=$L$1,$L$2+$L$3+$L$5,
IF(F28=$M$1,$M$2+$M$3+$M$5,
IF(F28=$N$1,$N$2+$N$3+$N$5,
IF(F28=$O$1,$O$2+$O$3+$O$5,
IF(F28=$P$1,$P$2+$P$3+$P$5,
IF(F28=$Q$1,$Q$2+$Q$3+$Q$5,
IF(F28=$R$1,$R$2+$R$3+$R$5,
IF(F28=$S$1,$S$2+$S$3+$S$5,"")))))))))</f>
        <v>18.3</v>
      </c>
      <c r="K28" s="29">
        <f t="shared" si="43"/>
        <v>49.3</v>
      </c>
      <c r="L28" s="29">
        <f t="shared" si="48"/>
        <v>50</v>
      </c>
      <c r="M28" s="78" t="str">
        <f t="shared" ref="M28:M34" si="50">(CONCATENATE(F28,"x",L28,"-",IF(F28=$K$1,$C$4,IF(F28=$L$1,$C$4,IF(F28=$M$1,$C$4,IF(F28=$N$1,$C$4,IF(F28=$O$1,$C$4,IF(F28=$P$1,$C$5,IF(F28=$Q$1,$C$5,IF(F28=$R$1,$C$5,0))))))))))</f>
        <v>M12x50-HDG-8.8</v>
      </c>
      <c r="N28" s="29">
        <f>C28*4</f>
        <v>4</v>
      </c>
      <c r="O28" s="29">
        <f>C28*4</f>
        <v>4</v>
      </c>
      <c r="P28" s="29">
        <v>0</v>
      </c>
      <c r="Q28" s="29">
        <f>C28*4</f>
        <v>4</v>
      </c>
      <c r="R28" s="29">
        <f t="shared" si="46"/>
        <v>8</v>
      </c>
      <c r="CI28" t="s">
        <v>485</v>
      </c>
      <c r="CJ28" s="183">
        <f t="shared" si="39"/>
        <v>0</v>
      </c>
      <c r="CK28" s="181"/>
      <c r="CL28" s="181"/>
      <c r="CM28" s="181"/>
      <c r="CO28" t="s">
        <v>486</v>
      </c>
      <c r="CP28" s="183">
        <f t="shared" si="40"/>
        <v>0</v>
      </c>
      <c r="CQ28" s="181"/>
      <c r="CR28" s="181"/>
      <c r="CS28" s="181"/>
      <c r="CU28" t="s">
        <v>487</v>
      </c>
      <c r="CV28" s="183">
        <f t="shared" si="41"/>
        <v>0</v>
      </c>
      <c r="CW28" s="181"/>
      <c r="CX28" s="181"/>
      <c r="CY28" s="181"/>
      <c r="DA28" t="s">
        <v>488</v>
      </c>
      <c r="DB28" s="183">
        <f t="shared" si="42"/>
        <v>0</v>
      </c>
      <c r="DC28" s="181"/>
      <c r="DD28" s="181"/>
      <c r="DE28" s="181"/>
    </row>
    <row r="29" spans="1:109" x14ac:dyDescent="0.25">
      <c r="B29" s="79" t="s">
        <v>489</v>
      </c>
      <c r="C29" s="73">
        <v>1</v>
      </c>
      <c r="D29" s="29" t="s">
        <v>87</v>
      </c>
      <c r="E29" s="29" t="s">
        <v>418</v>
      </c>
      <c r="F29" s="29" t="s">
        <v>22</v>
      </c>
      <c r="G29" s="29">
        <v>12</v>
      </c>
      <c r="H29" s="29">
        <v>6</v>
      </c>
      <c r="I29" s="29">
        <v>12</v>
      </c>
      <c r="J29" s="29">
        <f t="shared" si="49"/>
        <v>22.8</v>
      </c>
      <c r="K29" s="29">
        <f t="shared" si="43"/>
        <v>57.8</v>
      </c>
      <c r="L29" s="29">
        <f t="shared" si="48"/>
        <v>60</v>
      </c>
      <c r="M29" s="78" t="str">
        <f t="shared" si="50"/>
        <v>M16x60-HDG-8.8</v>
      </c>
      <c r="N29" s="29">
        <f>C29*4</f>
        <v>4</v>
      </c>
      <c r="O29" s="29">
        <f>C29*4</f>
        <v>4</v>
      </c>
      <c r="P29" s="29">
        <v>0</v>
      </c>
      <c r="Q29" s="29">
        <f>C29*4</f>
        <v>4</v>
      </c>
      <c r="R29" s="29">
        <f t="shared" si="46"/>
        <v>8</v>
      </c>
      <c r="CI29" t="s">
        <v>490</v>
      </c>
      <c r="CJ29" s="183">
        <f t="shared" si="39"/>
        <v>0</v>
      </c>
      <c r="CK29" s="181"/>
      <c r="CL29" s="181"/>
      <c r="CM29" s="181"/>
      <c r="CO29" t="s">
        <v>491</v>
      </c>
      <c r="CP29" s="183">
        <f t="shared" si="40"/>
        <v>0</v>
      </c>
      <c r="CQ29" s="181"/>
      <c r="CR29" s="181"/>
      <c r="CS29" s="181"/>
      <c r="CV29" s="183">
        <f>SUM(CV14:CY28)</f>
        <v>0</v>
      </c>
      <c r="CW29" s="181"/>
      <c r="CX29" s="181"/>
      <c r="CY29" s="181"/>
      <c r="DB29" s="183">
        <f>SUM(DB14:DE28)</f>
        <v>0</v>
      </c>
      <c r="DC29" s="181"/>
      <c r="DD29" s="181"/>
      <c r="DE29" s="181"/>
    </row>
    <row r="30" spans="1:109" x14ac:dyDescent="0.25">
      <c r="A30" s="157"/>
      <c r="B30" s="135" t="s">
        <v>492</v>
      </c>
      <c r="C30" s="73">
        <v>1</v>
      </c>
      <c r="D30" s="29" t="s">
        <v>87</v>
      </c>
      <c r="E30" s="29" t="s">
        <v>418</v>
      </c>
      <c r="F30" s="29" t="s">
        <v>22</v>
      </c>
      <c r="G30" s="29">
        <v>16</v>
      </c>
      <c r="H30" s="29">
        <v>6</v>
      </c>
      <c r="I30" s="29">
        <v>16</v>
      </c>
      <c r="J30" s="29">
        <f t="shared" si="49"/>
        <v>22.8</v>
      </c>
      <c r="K30" s="29">
        <f t="shared" si="43"/>
        <v>65.8</v>
      </c>
      <c r="L30" s="29">
        <f t="shared" si="48"/>
        <v>70</v>
      </c>
      <c r="M30" s="78" t="str">
        <f t="shared" si="50"/>
        <v>M16x70-HDG-8.8</v>
      </c>
      <c r="N30" s="29">
        <f>C30*4</f>
        <v>4</v>
      </c>
      <c r="O30" s="29">
        <f>C30*4</f>
        <v>4</v>
      </c>
      <c r="P30" s="29">
        <v>0</v>
      </c>
      <c r="Q30" s="29">
        <f>C30*4</f>
        <v>4</v>
      </c>
      <c r="R30" s="29">
        <f t="shared" si="46"/>
        <v>8</v>
      </c>
      <c r="CI30" t="s">
        <v>493</v>
      </c>
      <c r="CJ30" s="183">
        <f t="shared" si="39"/>
        <v>0</v>
      </c>
      <c r="CK30" s="181"/>
      <c r="CL30" s="181"/>
      <c r="CM30" s="181"/>
      <c r="CO30" t="s">
        <v>494</v>
      </c>
      <c r="CP30" s="183">
        <f t="shared" si="40"/>
        <v>0</v>
      </c>
      <c r="CQ30" s="181"/>
      <c r="CR30" s="181"/>
      <c r="CS30" s="181"/>
      <c r="CV30" s="183"/>
      <c r="CW30" s="181"/>
      <c r="CX30" s="181"/>
      <c r="CY30" s="181"/>
      <c r="DB30" s="183"/>
      <c r="DC30" s="181"/>
      <c r="DD30" s="181"/>
      <c r="DE30" s="181"/>
    </row>
    <row r="31" spans="1:109" x14ac:dyDescent="0.25">
      <c r="B31" s="79" t="s">
        <v>495</v>
      </c>
      <c r="C31" s="73">
        <v>1</v>
      </c>
      <c r="D31" s="29" t="s">
        <v>87</v>
      </c>
      <c r="E31" s="29" t="s">
        <v>418</v>
      </c>
      <c r="F31" s="29" t="s">
        <v>22</v>
      </c>
      <c r="G31" s="29">
        <v>16</v>
      </c>
      <c r="H31" s="29">
        <v>6</v>
      </c>
      <c r="I31" s="29">
        <v>16</v>
      </c>
      <c r="J31" s="29">
        <f t="shared" si="49"/>
        <v>22.8</v>
      </c>
      <c r="K31" s="29">
        <f t="shared" si="43"/>
        <v>65.8</v>
      </c>
      <c r="L31" s="29">
        <f t="shared" si="48"/>
        <v>70</v>
      </c>
      <c r="M31" s="78" t="str">
        <f t="shared" si="50"/>
        <v>M16x70-HDG-8.8</v>
      </c>
      <c r="N31" s="29">
        <f>C31*8</f>
        <v>8</v>
      </c>
      <c r="O31" s="29">
        <f>C31*8</f>
        <v>8</v>
      </c>
      <c r="P31" s="29">
        <v>0</v>
      </c>
      <c r="Q31" s="29">
        <f>C31*8</f>
        <v>8</v>
      </c>
      <c r="R31" s="29">
        <f t="shared" si="46"/>
        <v>16</v>
      </c>
      <c r="CI31" t="s">
        <v>496</v>
      </c>
      <c r="CJ31" s="183">
        <f t="shared" si="39"/>
        <v>0</v>
      </c>
      <c r="CK31" s="181"/>
      <c r="CL31" s="181"/>
      <c r="CM31" s="181"/>
      <c r="CO31" t="s">
        <v>497</v>
      </c>
      <c r="CP31" s="183">
        <f t="shared" si="40"/>
        <v>0</v>
      </c>
      <c r="CQ31" s="181"/>
      <c r="CR31" s="181"/>
      <c r="CS31" s="181"/>
    </row>
    <row r="32" spans="1:109" x14ac:dyDescent="0.25">
      <c r="B32" s="79" t="s">
        <v>498</v>
      </c>
      <c r="C32" s="73">
        <v>1</v>
      </c>
      <c r="D32" s="29" t="s">
        <v>87</v>
      </c>
      <c r="E32" s="29" t="s">
        <v>418</v>
      </c>
      <c r="F32" s="29" t="s">
        <v>23</v>
      </c>
      <c r="G32" s="29">
        <v>20</v>
      </c>
      <c r="H32" s="29">
        <v>6</v>
      </c>
      <c r="I32" s="29">
        <v>20</v>
      </c>
      <c r="J32" s="29">
        <f t="shared" si="49"/>
        <v>26</v>
      </c>
      <c r="K32" s="29">
        <f t="shared" si="43"/>
        <v>77</v>
      </c>
      <c r="L32" s="29">
        <f t="shared" si="48"/>
        <v>80</v>
      </c>
      <c r="M32" s="78" t="str">
        <f t="shared" si="50"/>
        <v>M20x80-HDG-8.8</v>
      </c>
      <c r="N32" s="29">
        <f>C32*8</f>
        <v>8</v>
      </c>
      <c r="O32" s="29">
        <f>C32*8</f>
        <v>8</v>
      </c>
      <c r="P32" s="29">
        <v>0</v>
      </c>
      <c r="Q32" s="29">
        <f>C32*8</f>
        <v>8</v>
      </c>
      <c r="R32" s="29">
        <f t="shared" si="46"/>
        <v>16</v>
      </c>
      <c r="CI32" t="s">
        <v>499</v>
      </c>
      <c r="CJ32" s="183">
        <f t="shared" si="39"/>
        <v>0</v>
      </c>
      <c r="CK32" s="181"/>
      <c r="CL32" s="181"/>
      <c r="CM32" s="181"/>
      <c r="CO32" t="s">
        <v>500</v>
      </c>
      <c r="CP32" s="183">
        <f t="shared" si="40"/>
        <v>0</v>
      </c>
      <c r="CQ32" s="181"/>
      <c r="CR32" s="181"/>
      <c r="CS32" s="181"/>
    </row>
    <row r="33" spans="1:104" x14ac:dyDescent="0.25">
      <c r="B33" s="79" t="s">
        <v>501</v>
      </c>
      <c r="C33" s="73">
        <v>1</v>
      </c>
      <c r="D33" s="29" t="s">
        <v>87</v>
      </c>
      <c r="E33" s="29" t="s">
        <v>418</v>
      </c>
      <c r="F33" s="29" t="s">
        <v>23</v>
      </c>
      <c r="G33" s="29">
        <v>20</v>
      </c>
      <c r="H33" s="29">
        <v>6</v>
      </c>
      <c r="I33" s="29">
        <v>20</v>
      </c>
      <c r="J33" s="29">
        <f t="shared" si="49"/>
        <v>26</v>
      </c>
      <c r="K33" s="29">
        <f t="shared" si="43"/>
        <v>77</v>
      </c>
      <c r="L33" s="29">
        <f t="shared" si="48"/>
        <v>80</v>
      </c>
      <c r="M33" s="78" t="str">
        <f t="shared" si="50"/>
        <v>M20x80-HDG-8.8</v>
      </c>
      <c r="N33" s="29">
        <f>C33*8</f>
        <v>8</v>
      </c>
      <c r="O33" s="29">
        <f>C33*8</f>
        <v>8</v>
      </c>
      <c r="P33" s="29">
        <v>0</v>
      </c>
      <c r="Q33" s="29">
        <f>C33*8</f>
        <v>8</v>
      </c>
      <c r="R33" s="29">
        <f t="shared" si="46"/>
        <v>16</v>
      </c>
      <c r="CI33" t="s">
        <v>502</v>
      </c>
      <c r="CJ33" s="183">
        <f t="shared" si="39"/>
        <v>0</v>
      </c>
      <c r="CK33" s="181"/>
      <c r="CL33" s="181"/>
      <c r="CM33" s="181"/>
      <c r="CO33" t="s">
        <v>503</v>
      </c>
      <c r="CP33" s="183">
        <f t="shared" si="40"/>
        <v>0</v>
      </c>
      <c r="CQ33" s="181"/>
      <c r="CR33" s="181"/>
      <c r="CS33" s="181"/>
    </row>
    <row r="34" spans="1:104" x14ac:dyDescent="0.25">
      <c r="B34" s="79" t="s">
        <v>504</v>
      </c>
      <c r="C34" s="73">
        <v>1</v>
      </c>
      <c r="D34" s="29" t="s">
        <v>87</v>
      </c>
      <c r="E34" s="29" t="s">
        <v>418</v>
      </c>
      <c r="F34" s="29" t="s">
        <v>23</v>
      </c>
      <c r="G34" s="29">
        <v>24</v>
      </c>
      <c r="H34" s="29">
        <v>6</v>
      </c>
      <c r="I34" s="29">
        <v>24</v>
      </c>
      <c r="J34" s="29">
        <f t="shared" si="49"/>
        <v>26</v>
      </c>
      <c r="K34" s="29">
        <f t="shared" si="43"/>
        <v>85</v>
      </c>
      <c r="L34" s="29">
        <f t="shared" si="48"/>
        <v>90</v>
      </c>
      <c r="M34" s="78" t="str">
        <f t="shared" si="50"/>
        <v>M20x90-HDG-8.8</v>
      </c>
      <c r="N34" s="29">
        <f>C34*8</f>
        <v>8</v>
      </c>
      <c r="O34" s="29">
        <f>C34*8</f>
        <v>8</v>
      </c>
      <c r="P34" s="29">
        <v>0</v>
      </c>
      <c r="Q34" s="29">
        <f>C34*8</f>
        <v>8</v>
      </c>
      <c r="R34" s="29">
        <f t="shared" si="46"/>
        <v>16</v>
      </c>
      <c r="CI34" t="s">
        <v>505</v>
      </c>
      <c r="CJ34" s="183">
        <f t="shared" si="39"/>
        <v>0</v>
      </c>
      <c r="CK34" s="181"/>
      <c r="CL34" s="181"/>
      <c r="CM34" s="181"/>
      <c r="CO34" t="s">
        <v>506</v>
      </c>
      <c r="CP34" s="183">
        <f t="shared" si="40"/>
        <v>0</v>
      </c>
      <c r="CQ34" s="181"/>
      <c r="CR34" s="181"/>
      <c r="CS34" s="181"/>
    </row>
    <row r="35" spans="1:104" x14ac:dyDescent="0.25">
      <c r="B35" s="79"/>
      <c r="C35" s="73"/>
      <c r="D35" s="29"/>
      <c r="E35" s="29"/>
      <c r="F35" s="29"/>
      <c r="G35" s="29"/>
      <c r="H35" s="29"/>
      <c r="I35" s="29"/>
      <c r="J35" s="29"/>
      <c r="K35" s="29"/>
      <c r="L35" s="29"/>
      <c r="M35" s="78"/>
      <c r="N35" s="29"/>
      <c r="O35" s="29"/>
      <c r="P35" s="29"/>
      <c r="Q35" s="29"/>
      <c r="R35" s="29"/>
      <c r="CI35" t="s">
        <v>507</v>
      </c>
      <c r="CJ35" s="183">
        <f t="shared" si="39"/>
        <v>0</v>
      </c>
      <c r="CK35" s="181"/>
      <c r="CL35" s="181"/>
      <c r="CM35" s="181"/>
      <c r="CO35" t="s">
        <v>508</v>
      </c>
      <c r="CP35" s="183">
        <f t="shared" si="40"/>
        <v>0</v>
      </c>
      <c r="CQ35" s="181"/>
      <c r="CR35" s="181"/>
      <c r="CS35" s="181"/>
    </row>
    <row r="36" spans="1:104" x14ac:dyDescent="0.25">
      <c r="A36" s="59"/>
      <c r="B36" s="121" t="s">
        <v>387</v>
      </c>
      <c r="C36" s="122"/>
      <c r="D36" s="122"/>
      <c r="E36" s="122"/>
      <c r="F36" s="122"/>
      <c r="G36" s="122"/>
      <c r="H36" s="122"/>
      <c r="I36" s="122"/>
      <c r="J36" s="122"/>
      <c r="K36" s="122"/>
      <c r="L36" s="122"/>
      <c r="M36" s="122"/>
      <c r="N36" s="122"/>
      <c r="O36" s="122"/>
      <c r="P36" s="122"/>
      <c r="Q36" s="122"/>
      <c r="R36" s="122"/>
      <c r="S36" s="122"/>
      <c r="T36" s="124"/>
      <c r="U36" s="138"/>
      <c r="CI36" t="s">
        <v>509</v>
      </c>
      <c r="CJ36" s="183">
        <f t="shared" si="39"/>
        <v>0</v>
      </c>
      <c r="CK36" s="181"/>
      <c r="CL36" s="181"/>
      <c r="CM36" s="181"/>
      <c r="CO36" t="s">
        <v>510</v>
      </c>
      <c r="CP36" s="183">
        <f t="shared" si="40"/>
        <v>0</v>
      </c>
      <c r="CQ36" s="181"/>
      <c r="CR36" s="181"/>
      <c r="CS36" s="181"/>
    </row>
    <row r="37" spans="1:104" x14ac:dyDescent="0.25">
      <c r="B37" s="79" t="s">
        <v>511</v>
      </c>
      <c r="C37" s="73">
        <v>125</v>
      </c>
      <c r="D37" s="29" t="s">
        <v>358</v>
      </c>
      <c r="E37" s="29" t="s">
        <v>512</v>
      </c>
      <c r="F37" s="73" t="s">
        <v>24</v>
      </c>
      <c r="G37" s="73">
        <v>25</v>
      </c>
      <c r="H37" s="73">
        <v>10</v>
      </c>
      <c r="I37" s="73">
        <v>25</v>
      </c>
      <c r="J37" s="29">
        <f>IF(F37=$K$1,$K$2+$K$3+$K$5,
IF(F37=$L$1,$L$2+$L$3+$L$5,
IF(F37=$M$1,$M$2+$M$3+$M$5,
IF(F37=$N$1,$N$2+$N$3+$N$5,
IF(F37=$O$1,$O$2+$O$3+$O$5,
IF(F37=$P$1,$P$2+$P$3+$P$5,
IF(F37=$Q$1,$Q$2+$Q$3+$Q$5,
IF(F37=$R$1,$R$2+$R$3+$R$5,
IF(F37=$S$1,$S$2+$S$3+$S$5,"")))))))))</f>
        <v>30.5</v>
      </c>
      <c r="K37" s="29">
        <f>G37+H37+I37+J37+
IF(F28=$K$1,$K$5,
IF(F28=$L$1,$L$5,
IF(F28=$M$1,$M$5,
IF(F28=$N$1,$N$5,
IF(F28=$O$1,$O$5,
IF(F28=$P$1,$P$5,
IF(F28=$Q$1,$Q$5,
IF(F28=$R$1,$R$5,
IF(F28=$S$1,$S$5,"")))))))))</f>
        <v>95.5</v>
      </c>
      <c r="L37" s="29">
        <f>CEILING(K37, 10)</f>
        <v>100</v>
      </c>
      <c r="M37" s="78" t="str">
        <f>(CONCATENATE(F37,"x",L37,"-",IF(F37=$K$1,$C$4,IF(F37=$L$1,$C$4,IF(F37=$M$1,$C$4,IF(F37=$N$1,$C$4,IF(F37=$O$1,$C$4,IF(F37=$P$1,$C$5,IF(F37=$Q$1,$C$5,IF(F37=$R$1,$C$5,IF(F37=$S$1,$C$5,0)))))))))))</f>
        <v>M24x100-HDG-8.8</v>
      </c>
      <c r="N37" s="29">
        <f>C37*1</f>
        <v>125</v>
      </c>
      <c r="O37" s="29">
        <f>C37*1</f>
        <v>125</v>
      </c>
      <c r="P37" s="29">
        <v>0</v>
      </c>
      <c r="Q37" s="29">
        <f>C37*2</f>
        <v>250</v>
      </c>
      <c r="R37" s="29">
        <f>C37*0</f>
        <v>0</v>
      </c>
      <c r="CI37" t="s">
        <v>513</v>
      </c>
      <c r="CJ37" s="183">
        <f t="shared" si="39"/>
        <v>0</v>
      </c>
      <c r="CK37" s="181"/>
      <c r="CL37" s="181"/>
      <c r="CM37" s="181"/>
      <c r="CO37" t="s">
        <v>514</v>
      </c>
      <c r="CP37" s="183">
        <f t="shared" si="40"/>
        <v>0</v>
      </c>
      <c r="CQ37" s="181"/>
      <c r="CR37" s="181"/>
      <c r="CS37" s="181"/>
    </row>
    <row r="38" spans="1:104" x14ac:dyDescent="0.25">
      <c r="B38" s="79" t="s">
        <v>515</v>
      </c>
      <c r="C38" s="73">
        <v>4</v>
      </c>
      <c r="D38" s="29" t="s">
        <v>361</v>
      </c>
      <c r="E38" s="149" t="s">
        <v>516</v>
      </c>
      <c r="F38" s="73" t="s">
        <v>23</v>
      </c>
      <c r="G38" s="73">
        <v>25</v>
      </c>
      <c r="H38" s="73">
        <v>0</v>
      </c>
      <c r="I38" s="73">
        <v>25</v>
      </c>
      <c r="J38" s="29">
        <f>IF(F38=$K$1,$K$2+$K$3+$K$5,
IF(F38=$L$1,$L$2+$L$3+$L$5,
IF(F38=$M$1,$M$2+$M$3+$M$5,
IF(F38=$N$1,$N$2+$N$3+$N$5,
IF(F38=$O$1,$O$2+$O$3+$O$5,
IF(F38=$P$1,$P$2+$P$3+$P$5,
IF(F38=$Q$1,$Q$2+$Q$3+$Q$5,
IF(F38=$R$1,$R$2+$R$3+$R$5,
IF(F38=$S$1,$S$2+$S$3+$S$5,"")))))))))</f>
        <v>26</v>
      </c>
      <c r="K38" s="29">
        <f>G38+H38+I38+J38+
IF(F29=$K$1,$K$5,
IF(F29=$L$1,$L$5,
IF(F29=$M$1,$M$5,
IF(F29=$N$1,$N$5,
IF(F29=$O$1,$O$5,
IF(F29=$P$1,$P$5,
IF(F29=$Q$1,$Q$5,
IF(F29=$R$1,$R$5,
IF(F29=$S$1,$S$5,"")))))))))</f>
        <v>81</v>
      </c>
      <c r="L38" s="29">
        <f>CEILING(K38, 10)</f>
        <v>90</v>
      </c>
      <c r="M38" s="78" t="str">
        <f>(CONCATENATE(F38,"x",L38,"-",IF(F38=$K$1,$C$4,IF(F38=$L$1,$C$4,IF(F38=$M$1,$C$4,IF(F38=$N$1,$C$4,IF(F38=$O$1,$C$4,IF(F38=$P$1,$C$5,IF(F38=$Q$1,$C$5,IF(F38=$R$1,$C$5,IF(F38=$S$1,$C$5,0)))))))))))</f>
        <v>M20x90-HDG-8.8</v>
      </c>
      <c r="N38" s="29">
        <f>C38*4</f>
        <v>16</v>
      </c>
      <c r="O38" s="29">
        <f t="shared" ref="O38:O56" si="51">N38*1</f>
        <v>16</v>
      </c>
      <c r="P38" s="29">
        <f>O38</f>
        <v>16</v>
      </c>
      <c r="Q38" s="29">
        <f>O38*2</f>
        <v>32</v>
      </c>
      <c r="R38" s="29">
        <f>C38*0</f>
        <v>0</v>
      </c>
      <c r="CI38" t="s">
        <v>517</v>
      </c>
      <c r="CJ38" s="183">
        <f t="shared" si="39"/>
        <v>0</v>
      </c>
      <c r="CK38" s="181"/>
      <c r="CL38" s="181"/>
      <c r="CM38" s="181"/>
      <c r="CO38" t="s">
        <v>518</v>
      </c>
      <c r="CP38" s="183">
        <f t="shared" si="40"/>
        <v>0</v>
      </c>
      <c r="CQ38" s="181"/>
      <c r="CR38" s="181"/>
      <c r="CS38" s="181"/>
    </row>
    <row r="39" spans="1:104" x14ac:dyDescent="0.25">
      <c r="B39" s="189" t="s">
        <v>519</v>
      </c>
      <c r="C39" s="73" t="s">
        <v>520</v>
      </c>
      <c r="D39" s="29" t="s">
        <v>87</v>
      </c>
      <c r="E39" s="29" t="s">
        <v>521</v>
      </c>
      <c r="F39" s="29" t="str">
        <f>IF(C39="Ø300","M12",IF(C39="Ø350","M12",IF(C39="Ø400","M12",IF(C39="Ø450","M12",IF(C39="Ø500","M12",IF(C39="Ø550","M12",IF(C39="Ø600","M12",IF(C39="Ø650","M12",IF(C39="Ø700","M12",IF(C39="Ø750","M12","M16"))))))))))</f>
        <v>M12</v>
      </c>
      <c r="G39" s="29">
        <v>12</v>
      </c>
      <c r="H39" s="29">
        <v>0</v>
      </c>
      <c r="I39" s="29">
        <v>25</v>
      </c>
      <c r="J39" s="29">
        <f>IF(F39=$K$1,$K$2+2*$K$3+$K$5,
IF(F39=$L$1,$L$2+2*$L$3+$L$5,
IF(F39=$M$1,$M$2+2*$M$3+$M$5,
IF(F39=$N$1,$N$2+2*$N$3+$N$5,
IF(F39=$O$1,$O$2+2*$O$3+$O$5,
IF(F39=$P$1,$P$2+2*$P$3+$P$5,
IF(F39=$Q$1,$Q$2+2*$Q$3+$Q$5,
IF(F39=$R$1,$R$2+2*$R$3+$R$5,
IF(F39=$S$1,$S$2+2*$S$3+$S$5,"")))))))))</f>
        <v>20.8</v>
      </c>
      <c r="K39" s="29">
        <f>SUM(G39:J39)</f>
        <v>57.8</v>
      </c>
      <c r="L39" s="29">
        <f>CEILING(K39, 10)</f>
        <v>60</v>
      </c>
      <c r="M39" s="78" t="str">
        <f>(CONCATENATE(F39,"x",L39,"-",IF(F39=$K$1,$C$4,IF(F39=$L$1,$C$4,IF(F39=$M$1,$C$4,IF(F39=$N$1,$C$4,IF(F39=$O$1,$C$4,IF(F39=$P$1,$C$5,IF(F39=$Q$1,$C$5,IF(F39=$R$1,$C$5,IF(F39=$S$1,$C$5,0)))))))))))</f>
        <v>M12x60-HDG-8.8</v>
      </c>
      <c r="N39" s="29">
        <f>IF(C39="Ø300",16,IF(C39="Ø350",16,IF(C39="Ø400",20,IF(C39="Ø450",20,IF(C39="Ø500",24,IF(C39="Ø550",24,IF(C39="Ø600",24,IF(C39="Ø650",24,IF(C39="Ø700",28,IF(C39="Ø750",32,IF(C39="Ø800",32,IF(C39="Ø850",32,IF(C39="Ø900",34,IF(C39="Ø950",34,IF(C39="Ø1000",34,0)))))))))))))))</f>
        <v>24</v>
      </c>
      <c r="O39" s="29">
        <f t="shared" si="51"/>
        <v>24</v>
      </c>
      <c r="P39" s="29">
        <v>0</v>
      </c>
      <c r="Q39" s="29">
        <f>N39*2</f>
        <v>48</v>
      </c>
      <c r="R39" s="29">
        <f t="shared" ref="R39:R45" si="52">N39*0</f>
        <v>0</v>
      </c>
      <c r="S39" s="83" t="s">
        <v>522</v>
      </c>
      <c r="CI39" t="s">
        <v>523</v>
      </c>
      <c r="CJ39" s="183">
        <f t="shared" si="39"/>
        <v>0</v>
      </c>
      <c r="CK39" s="181"/>
      <c r="CL39" s="181"/>
      <c r="CM39" s="181"/>
      <c r="CO39" t="s">
        <v>524</v>
      </c>
      <c r="CP39" s="183">
        <f t="shared" si="40"/>
        <v>0</v>
      </c>
      <c r="CQ39" s="181"/>
      <c r="CR39" s="181"/>
      <c r="CS39" s="181"/>
    </row>
    <row r="40" spans="1:104" x14ac:dyDescent="0.25">
      <c r="B40" s="181"/>
      <c r="C40" s="73">
        <v>500</v>
      </c>
      <c r="D40" s="29" t="s">
        <v>87</v>
      </c>
      <c r="E40" s="29" t="s">
        <v>521</v>
      </c>
      <c r="F40" s="29" t="s">
        <v>21</v>
      </c>
      <c r="G40" s="29">
        <v>12</v>
      </c>
      <c r="H40" s="29">
        <v>5</v>
      </c>
      <c r="I40" s="29">
        <v>10</v>
      </c>
      <c r="J40" s="29">
        <f>IF(F40=$K$1,$K$2+2*$K$3+$K$5,
IF(F40=$L$1,$L$2+2*$L$3+$L$5,
IF(F40=$M$1,$M$2+2*$M$3+$M$5,
IF(F40=$N$1,$N$2+2*$N$3+$N$5,
IF(F40=$O$1,$O$2+2*$O$3+$O$5,
IF(F40=$P$1,$P$2+2*$P$3+$P$5,
IF(F40=$Q$1,$Q$2+2*$Q$3+$Q$5,
IF(F40=$R$1,$R$2+2*$R$3+$R$5,
IF(F40=$S$1,$S$2+2*$S$3+$S$5,"")))))))))</f>
        <v>20.8</v>
      </c>
      <c r="K40" s="29">
        <f>SUM(G40:J40)</f>
        <v>47.8</v>
      </c>
      <c r="L40" s="29">
        <f>CEILING(K40, 10)</f>
        <v>50</v>
      </c>
      <c r="M40" s="78" t="str">
        <f>(CONCATENATE(F40,"x",L40,"-",IF(F40=$K$1,$C$4,IF(F40=$L$1,$C$4,IF(F40=$M$1,$C$4,IF(F40=$N$1,$C$4,IF(F40=$O$1,$C$4,IF(F40=$P$1,$C$5,IF(F40=$Q$1,$C$5,IF(F40=$R$1,$C$5,IF(F40=$S$1,$C$5,0)))))))))))</f>
        <v>M12x50-HDG-8.8</v>
      </c>
      <c r="N40" s="86">
        <f>CEILING(IF(C39="Ø300",5*2+2*(C40-170)/90,IF(C39="Ø350",5*2+2*(C40-170)/90,IF(C39="Ø400",6*2+2*(C40-170)/90,IF(C39="Ø450",6*2+2*(C40-170)/90,IF(C39="Ø500",7*2+2*(C40-170)/90,IF(C39="Ø550",7*2+2*(C40-170)/90,IF(C39="Ø600",7*2+2*(C40-170)/90,IF(C39="Ø650",7*2+2*(C40-170)/90,IF(C39="Ø750",7*2+2*(C40-170)/90,IF(C39="Ø800",7*2+2*(C40-170)/90,IF(C39="Ø850",7*2+2*(C40-170)/90,IF(C39="Ø900",7*2+2*(C40-170)/90,IF(C39="Ø950",7*2+2*(C40-170)/90,IF(C39="Ø1000",7*2+2*(C40-170)/90,0)))))))))))))),1)</f>
        <v>22</v>
      </c>
      <c r="O40" s="29">
        <f t="shared" si="51"/>
        <v>22</v>
      </c>
      <c r="P40" s="29">
        <v>0</v>
      </c>
      <c r="Q40" s="86">
        <f>N40*2</f>
        <v>44</v>
      </c>
      <c r="R40" s="29">
        <f t="shared" si="52"/>
        <v>0</v>
      </c>
      <c r="S40" s="83" t="s">
        <v>525</v>
      </c>
      <c r="CI40" t="s">
        <v>526</v>
      </c>
      <c r="CJ40" s="183">
        <f t="shared" si="39"/>
        <v>0</v>
      </c>
      <c r="CK40" s="181"/>
      <c r="CL40" s="181"/>
      <c r="CM40" s="181"/>
      <c r="CO40" t="s">
        <v>527</v>
      </c>
      <c r="CP40" s="183">
        <f t="shared" si="40"/>
        <v>0</v>
      </c>
      <c r="CQ40" s="181"/>
      <c r="CR40" s="181"/>
      <c r="CS40" s="181"/>
    </row>
    <row r="41" spans="1:104" x14ac:dyDescent="0.25">
      <c r="B41" s="181"/>
      <c r="C41" s="73" t="s">
        <v>528</v>
      </c>
      <c r="D41" s="29" t="s">
        <v>367</v>
      </c>
      <c r="E41" s="29" t="s">
        <v>521</v>
      </c>
      <c r="F41" s="29" t="str">
        <f>IF(C41="SD-11/01","M10",IF(C41="SD-11/02","M10",IF(C41="SD-11/03","M12",IF(C41="SD-11/04","M12",IF(C41="SD-11/05","M12",IF(C41="SD-11/06","M12",IF(C41="SD-11/07","M12",IF(C41="SD-11/08","M12",IF(C41="SD-11/09","M12",IF(C41="SD-11/10","M16",IF(C41="SD-11/11","M20",0)))))))))))</f>
        <v>M12</v>
      </c>
      <c r="G41" s="182"/>
      <c r="H41" s="181"/>
      <c r="I41" s="181"/>
      <c r="J41" s="29">
        <f>IF(F41=$K$1,$K$2+2*$K$3+$K$5,
IF(F41=$L$1,$L$2+2*$L$3+$L$5,
IF(F41=$M$1,$M$2+2*$M$3+$M$5,
IF(F41=$N$1,$N$2+2*$N$3+$N$5,
IF(F41=$O$1,$O$2+2*$O$3+$O$5,
IF(F41=$P$1,$P$2+2*$P$3+$P$5,
IF(F41=$Q$1,$Q$2+2*$Q$3+$Q$5,
IF(F41=$R$1,$R$2+2*$R$3+$R$5,
IF(F41=$S$1,$S$2+2*$S$3+$S$5,"")))))))))</f>
        <v>20.8</v>
      </c>
      <c r="K41" s="29"/>
      <c r="L41" s="29">
        <f>IF(C41="SD-11/01",75,IF(C41="SD-11/02",75,IF(C41="SD-11/03",85,IF(C41="SD-11/04",85,IF(C41="SD-11/05",85,75)))))</f>
        <v>85</v>
      </c>
      <c r="M41" s="78" t="str">
        <f>(CONCATENATE(F41,"-STUDx",L41,"-",IF(F41=$K$1,$C$4,IF(F41=$L$1,$C$4,IF(F41=$M$1,$C$4,IF(F41=$N$1,$C$4,IF(F41=$O$1,$C$4,IF(F41=$P$1,$C$5,IF(F41=$Q$1,$C$5,IF(F41=$R$1,$C$5,IF(F41=$S$1,$C$5,0)))))))))))</f>
        <v>M12-STUDx85-HDG-8.8</v>
      </c>
      <c r="N41" s="86">
        <f>IF(C41="SD-11/01",4,IF(C41="SD-11/02",6,IF(C41="SD-11/03",6,IF(C41="SD-11/04",6,IF(C41="SD-11/05",6,IF(C41="SD-11/06",6,IF(C41="SD-11/07",6,IF(C41="SD-11/08",8,IF(C41="SD-11/09",12,IF(C41="SD-11/10",12,IF(C41="SD-11/11",12,0)))))))))))</f>
        <v>6</v>
      </c>
      <c r="O41" s="86">
        <f t="shared" si="51"/>
        <v>6</v>
      </c>
      <c r="P41" s="29">
        <v>0</v>
      </c>
      <c r="Q41" s="86">
        <f>N41</f>
        <v>6</v>
      </c>
      <c r="R41" s="29">
        <f t="shared" si="52"/>
        <v>0</v>
      </c>
      <c r="S41" s="83" t="s">
        <v>529</v>
      </c>
      <c r="CI41" t="s">
        <v>530</v>
      </c>
      <c r="CJ41" s="183">
        <f t="shared" si="39"/>
        <v>0</v>
      </c>
      <c r="CK41" s="181"/>
      <c r="CL41" s="181"/>
      <c r="CM41" s="181"/>
      <c r="CO41" t="s">
        <v>531</v>
      </c>
      <c r="CP41" s="183">
        <f t="shared" si="40"/>
        <v>0</v>
      </c>
      <c r="CQ41" s="181"/>
      <c r="CR41" s="181"/>
      <c r="CS41" s="181"/>
    </row>
    <row r="42" spans="1:104" x14ac:dyDescent="0.25">
      <c r="B42" s="181"/>
      <c r="C42" s="73" t="s">
        <v>532</v>
      </c>
      <c r="D42" s="29" t="s">
        <v>87</v>
      </c>
      <c r="E42" s="29" t="s">
        <v>521</v>
      </c>
      <c r="F42" s="29" t="s">
        <v>22</v>
      </c>
      <c r="G42" s="29">
        <v>12</v>
      </c>
      <c r="H42" s="29">
        <v>0</v>
      </c>
      <c r="I42" s="29">
        <v>17</v>
      </c>
      <c r="J42" s="29">
        <f>IF(F42=$K$1,$K$2+2*$K$3+$K$5,
IF(F42=$L$1,$L$2+2*$L$3+$L$5,
IF(F42=$M$1,$M$2+2*$M$3+$M$5,
IF(F42=$N$1,$N$2+2*$N$3+$N$5,
IF(F42=$O$1,$O$2+2*$O$3+$O$5,
IF(F42=$P$1,$P$2+2*$P$3+$P$5,
IF(F42=$Q$1,$Q$2+2*$Q$3+$Q$5,
IF(F42=$R$1,$R$2+2*$R$3+$R$5,
IF(F42=$S$1,$S$2+2*$S$3+$S$5,"")))))))))</f>
        <v>25.8</v>
      </c>
      <c r="K42" s="29">
        <f>SUM(G42:J42)</f>
        <v>54.8</v>
      </c>
      <c r="L42" s="29">
        <f>CEILING(K42, 10)</f>
        <v>60</v>
      </c>
      <c r="M42" s="78" t="str">
        <f>(CONCATENATE(F42,"x",L42,"-",IF(F42=$K$1,$C$4,IF(F42=$L$1,$C$4,IF(F42=$M$1,$C$4,IF(F42=$N$1,$C$4,IF(F42=$O$1,$C$4,IF(F42=$P$1,$C$5,IF(F42=$Q$1,$C$5,IF(F42=$R$1,$C$5,IF(F42=$S$1,$C$5,0)))))))))))</f>
        <v>M16x60-HDG-8.8</v>
      </c>
      <c r="N42" s="86">
        <f>IF(C42="NO CT", 0, 4)</f>
        <v>4</v>
      </c>
      <c r="O42" s="86">
        <f t="shared" si="51"/>
        <v>4</v>
      </c>
      <c r="P42" s="29">
        <v>0</v>
      </c>
      <c r="Q42" s="86">
        <f>N42*2</f>
        <v>8</v>
      </c>
      <c r="R42" s="29">
        <f t="shared" si="52"/>
        <v>0</v>
      </c>
      <c r="S42" s="83" t="s">
        <v>533</v>
      </c>
      <c r="CI42" t="s">
        <v>534</v>
      </c>
      <c r="CJ42" s="183">
        <f t="shared" si="39"/>
        <v>0</v>
      </c>
      <c r="CK42" s="181"/>
      <c r="CL42" s="181"/>
      <c r="CM42" s="181"/>
      <c r="CO42" t="s">
        <v>535</v>
      </c>
      <c r="CP42" s="183">
        <f t="shared" si="40"/>
        <v>0</v>
      </c>
      <c r="CQ42" s="181"/>
      <c r="CR42" s="181"/>
      <c r="CS42" s="181"/>
    </row>
    <row r="43" spans="1:104" x14ac:dyDescent="0.25">
      <c r="B43" s="189" t="s">
        <v>536</v>
      </c>
      <c r="C43" s="73" t="s">
        <v>537</v>
      </c>
      <c r="D43" s="29" t="s">
        <v>87</v>
      </c>
      <c r="E43" s="29" t="s">
        <v>538</v>
      </c>
      <c r="F43" s="29" t="str">
        <f>IF(C43="Ø300","M12",IF(C43="Ø350","M12",IF(C43="Ø400","M12",IF(C43="Ø450","M12",IF(C43="Ø500","M12",IF(C43="Ø550","M12",IF(C43="Ø600","M12",IF(C43="Ø650","M12",IF(C43="Ø700","M12",IF(C43="Ø750","M12","M16"))))))))))</f>
        <v>M16</v>
      </c>
      <c r="G43" s="29">
        <v>12</v>
      </c>
      <c r="H43" s="29">
        <v>0</v>
      </c>
      <c r="I43" s="29">
        <v>25</v>
      </c>
      <c r="J43" s="29">
        <f>IF(F43=$K$1,$K$2+2*$K$3+$K$5,
IF(F43=$L$1,$L$2+2*$L$3+$L$5,
IF(F43=$M$1,$M$2+2*$M$3+$M$5,
IF(F43=$N$1,$N$2+2*$N$3+$N$5,
IF(F43=$O$1,$O$2+2*$O$3+$O$5,
IF(F43=$P$1,$P$2+2*$P$3+$P$5,
IF(F43=$Q$1,$Q$2+2*$Q$3+$Q$5,
IF(F43=$R$1,$R$2+2*$R$3+$R$5,
IF(F43=$S$1,$S$2+2*$S$3+$S$5,"")))))))))</f>
        <v>25.8</v>
      </c>
      <c r="K43" s="29">
        <f>SUM(G43:J43)</f>
        <v>62.8</v>
      </c>
      <c r="L43" s="29">
        <f>CEILING(K43, 10)</f>
        <v>70</v>
      </c>
      <c r="M43" s="78" t="str">
        <f>(CONCATENATE(F43,"x",L43,"-",IF(F43=$K$1,$C$4,IF(F43=$L$1,$C$4,IF(F43=$M$1,$C$4,IF(F43=$N$1,$C$4,IF(F43=$O$1,$C$4,IF(F43=$P$1,$C$5,IF(F43=$Q$1,$C$5,IF(F43=$R$1,$C$5,IF(F43=$S$1,$C$5,0)))))))))))</f>
        <v>M16x70-HDG-8.8</v>
      </c>
      <c r="N43" s="29">
        <f>IF(C43="Ø300",16,IF(C43="Ø350",16,IF(C43="Ø400",20,IF(C43="Ø450",20,IF(C43="Ø500",24,IF(C43="Ø550",24,IF(C43="Ø600",24,IF(C43="Ø650",24,IF(C43="Ø700",28,IF(C43="Ø750",32,IF(C43="Ø800",32,IF(C43="Ø850",32,IF(C43="Ø900",34,IF(C43="Ø950",34,IF(C43="Ø1000",34,0)))))))))))))))</f>
        <v>32</v>
      </c>
      <c r="O43" s="29">
        <f t="shared" si="51"/>
        <v>32</v>
      </c>
      <c r="P43" s="29">
        <v>0</v>
      </c>
      <c r="Q43" s="29">
        <f>N43*2</f>
        <v>64</v>
      </c>
      <c r="R43" s="29">
        <f t="shared" si="52"/>
        <v>0</v>
      </c>
      <c r="S43" s="83" t="s">
        <v>522</v>
      </c>
      <c r="CI43" t="s">
        <v>539</v>
      </c>
      <c r="CJ43" s="183">
        <f t="shared" si="39"/>
        <v>0</v>
      </c>
      <c r="CK43" s="181"/>
      <c r="CL43" s="181"/>
      <c r="CM43" s="181"/>
      <c r="CO43" t="s">
        <v>540</v>
      </c>
      <c r="CP43" s="183">
        <f t="shared" si="40"/>
        <v>0</v>
      </c>
      <c r="CQ43" s="181"/>
      <c r="CR43" s="181"/>
      <c r="CS43" s="181"/>
    </row>
    <row r="44" spans="1:104" x14ac:dyDescent="0.25">
      <c r="B44" s="181"/>
      <c r="C44" s="73">
        <v>600</v>
      </c>
      <c r="D44" s="29" t="s">
        <v>87</v>
      </c>
      <c r="E44" s="29" t="s">
        <v>538</v>
      </c>
      <c r="F44" s="29" t="s">
        <v>21</v>
      </c>
      <c r="G44" s="29">
        <v>12</v>
      </c>
      <c r="H44" s="29">
        <v>5</v>
      </c>
      <c r="I44" s="29">
        <v>10</v>
      </c>
      <c r="J44" s="29">
        <f>IF(F44=$K$1,2*$K$2+2*$K$3+$K$5,
IF(F44=$L$1,2*$L$2+2*$L$3+$L$5,
IF(F44=$M$1,2*$M$2+2*$M$3+$M$5,
IF(F44=$N$1,2*$N$2+2*$N$3+$N$5,
IF(F44=$O$1,2*$O$2+2*$O$3+$O$5,
IF(F44=$P$1,2*$P$2+2*$P$3+$P$5,
IF(F44=$Q$1,2*$Q$2+2*$Q$3+$Q$5,
IF(F44=$R$1,2*$R$2+2*$R$3+$R$5,
IF(F44=$S$1,2*$S$2+2*$S$3+$S$5,"")))))))))</f>
        <v>31.6</v>
      </c>
      <c r="K44" s="29">
        <f>SUM(G44:J44)</f>
        <v>58.6</v>
      </c>
      <c r="L44" s="29">
        <f>CEILING(K44, 10)</f>
        <v>60</v>
      </c>
      <c r="M44" s="78" t="str">
        <f>(CONCATENATE(F44,"x",L44,"-",IF(F44=$K$1,$C$4,IF(F44=$L$1,$C$4,IF(F44=$M$1,$C$4,IF(F44=$N$1,$C$4,IF(F44=$O$1,$C$4,IF(F44=$P$1,$C$5,IF(F44=$Q$1,$C$5,IF(F44=$R$1,$C$5,IF(F44=$S$1,$C$5,0)))))))))))</f>
        <v>M12x60-HDG-8.8</v>
      </c>
      <c r="N44" s="86">
        <f>CEILING(IF(C43="Ø300",5*2+2*(C44-170)/90,IF(C43="Ø350",5*2+2*(C44-170)/90,IF(C43="Ø400",6*2+2*(C44-170)/90,IF(C43="Ø450",6*2+2*(C44-170)/90,IF(C43="Ø500",7*2+2*(C44-170)/90,IF(C43="Ø550",7*2+2*(C44-170)/90,IF(C43="Ø600",7*2+2*(C44-170)/90,IF(C43="Ø650",7*2+2*(C44-170)/90,IF(C43="Ø750",7*2+2*(C44-170)/90,IF(C43="Ø800",7*2+2*(C44-170)/90,IF(C43="Ø850",7*2+2*(C44-170)/90,IF(C43="Ø900",7*2+2*(C44-170)/90,IF(C43="Ø950",7*2+2*(C44-170)/90,IF(C43="Ø1000",7*2+2*(C44-170)/90,0)))))))))))))),1)</f>
        <v>24</v>
      </c>
      <c r="O44" s="86">
        <f t="shared" si="51"/>
        <v>24</v>
      </c>
      <c r="P44" s="29">
        <v>0</v>
      </c>
      <c r="Q44" s="86">
        <f>N44*2</f>
        <v>48</v>
      </c>
      <c r="R44" s="29">
        <f t="shared" si="52"/>
        <v>0</v>
      </c>
      <c r="S44" s="83" t="s">
        <v>541</v>
      </c>
      <c r="CI44" t="s">
        <v>542</v>
      </c>
      <c r="CJ44" s="183">
        <f t="shared" si="39"/>
        <v>0</v>
      </c>
      <c r="CK44" s="181"/>
      <c r="CL44" s="181"/>
      <c r="CM44" s="181"/>
      <c r="CO44" t="s">
        <v>543</v>
      </c>
      <c r="CP44" s="183">
        <f t="shared" si="40"/>
        <v>0</v>
      </c>
      <c r="CQ44" s="181"/>
      <c r="CR44" s="181"/>
      <c r="CS44" s="181"/>
    </row>
    <row r="45" spans="1:104" x14ac:dyDescent="0.25">
      <c r="B45" s="181"/>
      <c r="C45" s="73" t="s">
        <v>544</v>
      </c>
      <c r="D45" s="29" t="s">
        <v>367</v>
      </c>
      <c r="E45" s="29" t="s">
        <v>538</v>
      </c>
      <c r="F45" s="29" t="str">
        <f>IF(C45="SD-11/01","M10",IF(C45="SD-11/02","M10",IF(C45="SD-11/03","M12",IF(C45="SD-11/04","M12",IF(C45="SD-11/05","M12",IF(C45="SD-11/06","M12",IF(C45="SD-11/07","M12",IF(C45="SD-11/08","M12",IF(C45="SD-11/09","M12",IF(C45="SD-11/10","M16",IF(C45="SD-11/11","M20",0)))))))))))</f>
        <v>M16</v>
      </c>
      <c r="G45" s="182"/>
      <c r="H45" s="181"/>
      <c r="I45" s="181"/>
      <c r="J45" s="29">
        <f>IF(F45=$K$1,$K$2+2*$K$3+$K$5,
IF(F45=$L$1,$L$2+2*$L$3+$L$5,
IF(F45=$M$1,$M$2+2*$M$3+$M$5,
IF(F45=$N$1,$N$2+2*$N$3+$N$5,
IF(F45=$O$1,$O$2+2*$O$3+$O$5,
IF(F45=$P$1,$P$2+2*$P$3+$P$5,
IF(F45=$Q$1,$Q$2+2*$Q$3+$Q$5,
IF(F45=$R$1,$R$2+2*$R$3+$R$5,
IF(F45=$S$1,$S$2+2*$S$3+$S$5,"")))))))))</f>
        <v>25.8</v>
      </c>
      <c r="K45" s="29"/>
      <c r="L45" s="29">
        <f>IF(C45="SD-11/01",75,IF(C45="SD-11/02",75,IF(C45="SD-11/03",85,IF(C45="SD-11/04",85,IF(C45="SD-11/05",85,75)))))</f>
        <v>75</v>
      </c>
      <c r="M45" s="78" t="str">
        <f>(CONCATENATE(F45,"-STUDx",L45,"-",IF(F45=$K$1,$C$4,IF(F45=$L$1,$C$4,IF(F45=$M$1,$C$4,IF(F45=$N$1,$C$4,IF(F45=$O$1,$C$4,IF(F45=$P$1,$C$5,IF(F45=$Q$1,$C$5,IF(F45=$R$1,$C$5,IF(F45=$S$1,$C$5,0)))))))))))</f>
        <v>M16-STUDx75-HDG-8.8</v>
      </c>
      <c r="N45" s="86">
        <f>IF(C45="SD-11/01",4,IF(C45="SD-11/02",6,IF(C45="SD-11/03",6,IF(C45="SD-11/04",6,IF(C45="SD-11/05",6,IF(C45="SD-11/06",6,IF(C45="SD-11/07",6,IF(C45="SD-11/08",8,IF(C45="SD-11/09",12,IF(C45="SD-11/10",12,IF(C45="SD-11/11",12,0)))))))))))</f>
        <v>12</v>
      </c>
      <c r="O45" s="86">
        <f t="shared" si="51"/>
        <v>12</v>
      </c>
      <c r="P45" s="29">
        <v>0</v>
      </c>
      <c r="Q45" s="86">
        <f>N45*1</f>
        <v>12</v>
      </c>
      <c r="R45" s="29">
        <f t="shared" si="52"/>
        <v>0</v>
      </c>
      <c r="S45" s="83" t="s">
        <v>529</v>
      </c>
      <c r="CI45" t="s">
        <v>545</v>
      </c>
      <c r="CJ45" s="183">
        <f t="shared" si="39"/>
        <v>0</v>
      </c>
      <c r="CK45" s="181"/>
      <c r="CL45" s="181"/>
      <c r="CM45" s="181"/>
      <c r="CO45" t="s">
        <v>546</v>
      </c>
      <c r="CP45" s="183">
        <f t="shared" si="40"/>
        <v>0</v>
      </c>
      <c r="CQ45" s="181"/>
      <c r="CR45" s="181"/>
      <c r="CS45" s="181"/>
      <c r="CZ45">
        <f>SUM(CL52+CV29+DB29+CR52)</f>
        <v>2</v>
      </c>
    </row>
    <row r="46" spans="1:104" x14ac:dyDescent="0.25">
      <c r="B46" s="181"/>
      <c r="C46" s="73" t="s">
        <v>537</v>
      </c>
      <c r="D46" s="29" t="s">
        <v>87</v>
      </c>
      <c r="E46" s="29" t="s">
        <v>538</v>
      </c>
      <c r="F46" s="29" t="str">
        <f>IF(C46="Ø300","M12",IF(C46="Ø350","M12",IF(C46="Ø400","M12",IF(C46="Ø450","M12",IF(C46="Ø500","M12",IF(C46="Ø550","M12",IF(C46="Ø600","M12",IF(C46="Ø650","M12",IF(C46="Ø700","M12",IF(C46="Ø750","M12","M16"))))))))))</f>
        <v>M16</v>
      </c>
      <c r="G46" s="29">
        <v>12</v>
      </c>
      <c r="H46" s="29"/>
      <c r="I46" s="29">
        <v>25</v>
      </c>
      <c r="J46" s="29">
        <f>IF(F46=$K$1,$K$2+2*$K$3+$K$5,
IF(F46=$L$1,$L$2+2*$L$3+$L$5,
IF(F46=$M$1,$M$2+2*$M$3+$M$5,
IF(F46=$N$1,$N$2+2*$N$3+$N$5,
IF(F46=$O$1,$O$2+2*$O$3+$O$5,
IF(F46=$P$1,$P$2+2*$P$3+$P$5,
IF(F46=$Q$1,$Q$2+2*$Q$3+$Q$5,
IF(F46=$R$1,$R$2+2*$R$3+$R$5,
IF(F46=$S$1,$S$2+2*$S$3+$S$5,"")))))))))</f>
        <v>25.8</v>
      </c>
      <c r="K46" s="29">
        <f>SUM(G46:J46)</f>
        <v>62.8</v>
      </c>
      <c r="L46" s="29">
        <f>IF(C46="SD-11/01",75,IF(C46="SD-11/02",75,IF(C46="SD-11/03",85,IF(C46="SD-11/04",85,IF(C46="SD-11/05",85,75)))))</f>
        <v>75</v>
      </c>
      <c r="M46" s="78" t="str">
        <f>(CONCATENATE(F46,"x",L46,"-",IF(F46=$K$1,$C$4,IF(F46=$L$1,$C$4,IF(F46=$M$1,$C$4,IF(F46=$N$1,$C$4,IF(F46=$O$1,$C$4,IF(F46=$P$1,$C$5,IF(F46=$Q$1,$C$5,IF(F46=$R$1,$C$5,IF(F46=$S$1,$C$5,0)))))))))))</f>
        <v>M16x75-HDG-8.8</v>
      </c>
      <c r="N46" s="86">
        <f>IF(C46="Ø300",16,IF(C46="Ø350",16,IF(C46="Ø400",20,IF(C46="Ø450",20,IF(C46="Ø500",24,IF(C46="Ø550",24,IF(C46="Ø600",24,IF(C46="Ø650",24,IF(C46="Ø700",28,IF(C46="Ø750",32,IF(C46="Ø800",32,IF(C46="Ø850",32,IF(C46="Ø900",34,IF(C46="Ø950",34,IF(C46="Ø1000",34,0)))))))))))))))</f>
        <v>32</v>
      </c>
      <c r="O46" s="86">
        <f t="shared" si="51"/>
        <v>32</v>
      </c>
      <c r="P46" s="29">
        <v>0</v>
      </c>
      <c r="Q46" s="86">
        <f>O46*2</f>
        <v>64</v>
      </c>
      <c r="R46" s="29">
        <v>0</v>
      </c>
      <c r="S46" s="83" t="s">
        <v>547</v>
      </c>
      <c r="CI46" t="s">
        <v>548</v>
      </c>
      <c r="CJ46" s="183">
        <f t="shared" si="39"/>
        <v>0</v>
      </c>
      <c r="CK46" s="181"/>
      <c r="CL46" s="181"/>
      <c r="CM46" s="181"/>
      <c r="CO46" t="s">
        <v>549</v>
      </c>
      <c r="CP46" s="183">
        <f t="shared" si="40"/>
        <v>0</v>
      </c>
      <c r="CQ46" s="181"/>
      <c r="CR46" s="181"/>
      <c r="CS46" s="181"/>
    </row>
    <row r="47" spans="1:104" x14ac:dyDescent="0.25">
      <c r="B47" s="181"/>
      <c r="C47" s="73" t="s">
        <v>532</v>
      </c>
      <c r="D47" s="29" t="s">
        <v>87</v>
      </c>
      <c r="E47" s="29" t="s">
        <v>538</v>
      </c>
      <c r="F47" s="29" t="s">
        <v>22</v>
      </c>
      <c r="G47" s="29">
        <v>12</v>
      </c>
      <c r="H47" s="29">
        <v>0</v>
      </c>
      <c r="I47" s="29">
        <v>17</v>
      </c>
      <c r="J47" s="29">
        <f>IF(F47=$K$1,$K$2+2*$K$3+$K$5,
IF(F47=$L$1,$L$2+2*$L$3+$L$5,
IF(F47=$M$1,$M$2+2*$M$3+$M$5,
IF(F47=$N$1,$N$2+2*$N$3+$N$5,
IF(F47=$O$1,$O$2+2*$O$3+$O$5,
IF(F47=$P$1,$P$2+2*$P$3+$P$5,
IF(F47=$Q$1,$Q$2+2*$Q$3+$Q$5,
IF(F47=$R$1,$R$2+2*$R$3+$R$5,
IF(F47=$S$1,$S$2+2*$S$3+$S$5,"")))))))))</f>
        <v>25.8</v>
      </c>
      <c r="K47" s="29">
        <f>SUM(G47:J47)</f>
        <v>54.8</v>
      </c>
      <c r="L47" s="29">
        <f>CEILING(K47, 10)</f>
        <v>60</v>
      </c>
      <c r="M47" s="78" t="str">
        <f>(CONCATENATE(F47,"x",L47,"-",IF(F47=$K$1,$C$4,IF(F47=$L$1,$C$4,IF(F47=$M$1,$C$4,IF(F47=$N$1,$C$4,IF(F47=$O$1,$C$4,IF(F47=$P$1,$C$5,IF(F47=$Q$1,$C$5,IF(F47=$R$1,$C$5,IF(F47=$S$1,$C$5,0)))))))))))</f>
        <v>M16x60-HDG-8.8</v>
      </c>
      <c r="N47" s="86">
        <f>IF(C47="NO CT", 0, 4)</f>
        <v>4</v>
      </c>
      <c r="O47" s="86">
        <f t="shared" si="51"/>
        <v>4</v>
      </c>
      <c r="P47" s="29">
        <v>0</v>
      </c>
      <c r="Q47" s="86">
        <f>N47*2</f>
        <v>8</v>
      </c>
      <c r="R47" s="29">
        <f t="shared" ref="R47:R54" si="53">N47*0</f>
        <v>0</v>
      </c>
      <c r="S47" s="83" t="s">
        <v>533</v>
      </c>
      <c r="CI47" t="s">
        <v>550</v>
      </c>
      <c r="CJ47" s="183">
        <f t="shared" si="39"/>
        <v>0</v>
      </c>
      <c r="CK47" s="181"/>
      <c r="CL47" s="181"/>
      <c r="CM47" s="181"/>
      <c r="CO47" t="s">
        <v>551</v>
      </c>
      <c r="CP47" s="183">
        <f t="shared" si="40"/>
        <v>0</v>
      </c>
      <c r="CQ47" s="181"/>
      <c r="CR47" s="181"/>
      <c r="CS47" s="181"/>
    </row>
    <row r="48" spans="1:104" x14ac:dyDescent="0.25">
      <c r="B48" s="189" t="s">
        <v>552</v>
      </c>
      <c r="C48" s="73" t="s">
        <v>520</v>
      </c>
      <c r="D48" s="29" t="s">
        <v>87</v>
      </c>
      <c r="E48" s="29" t="s">
        <v>521</v>
      </c>
      <c r="F48" s="29" t="str">
        <f>IF(C48="Ø300","M12",IF(C48="Ø350","M12",IF(C48="Ø400","M12",IF(C48="Ø450","M12",IF(C48="Ø500","M12",IF(C48="Ø550","M12",IF(C48="Ø600","M12",IF(C48="Ø650","M12",IF(C48="Ø700","M12",IF(C48="Ø750","M12","M16"))))))))))</f>
        <v>M12</v>
      </c>
      <c r="G48" s="29">
        <v>12</v>
      </c>
      <c r="H48" s="29">
        <v>0</v>
      </c>
      <c r="I48" s="29">
        <v>25</v>
      </c>
      <c r="J48" s="29">
        <f>IF(F48=$K$1,$K$2+2*$K$3+$K$5,
IF(F48=$L$1,$L$2+2*$L$3+$L$5,
IF(F48=$M$1,$M$2+2*$M$3+$M$5,
IF(F48=$N$1,$N$2+2*$N$3+$N$5,
IF(F48=$O$1,$O$2+2*$O$3+$O$5,
IF(F48=$P$1,$P$2+2*$P$3+$P$5,
IF(F48=$Q$1,$Q$2+2*$Q$3+$Q$5,
IF(F48=$R$1,$R$2+2*$R$3+$R$5,
IF(F48=$S$1,$S$2+2*$S$3+$S$5,"")))))))))</f>
        <v>20.8</v>
      </c>
      <c r="K48" s="29">
        <f>SUM(G48:J48)</f>
        <v>57.8</v>
      </c>
      <c r="L48" s="29">
        <f>CEILING(K48, 10)</f>
        <v>60</v>
      </c>
      <c r="M48" s="78" t="str">
        <f>(CONCATENATE(F48,"x",L48,"-",IF(F48=$K$1,$C$4,IF(F48=$L$1,$C$4,IF(F48=$M$1,$C$4,IF(F48=$N$1,$C$4,IF(F48=$O$1,$C$4,IF(F48=$P$1,$C$5,IF(F48=$Q$1,$C$5,IF(F48=$R$1,$C$5,IF(F48=$S$1,$C$5,0)))))))))))</f>
        <v>M12x60-HDG-8.8</v>
      </c>
      <c r="N48" s="29">
        <f>IF(C48="Ø300",16,IF(C48="Ø350",16,IF(C48="Ø400",20,IF(C48="Ø450",20,IF(C48="Ø500",24,IF(C48="Ø550",24,IF(C48="Ø600",24,IF(C48="Ø650",24,IF(C48="Ø700",28,IF(C48="Ø750",32,IF(C48="Ø800",32,IF(C48="Ø850",32,IF(C48="Ø900",34,IF(C48="Ø950",34,IF(C48="Ø1000",34,0)))))))))))))))</f>
        <v>24</v>
      </c>
      <c r="O48" s="29">
        <f t="shared" si="51"/>
        <v>24</v>
      </c>
      <c r="P48" s="29">
        <v>0</v>
      </c>
      <c r="Q48" s="29">
        <f>N48*2</f>
        <v>48</v>
      </c>
      <c r="R48" s="29">
        <f t="shared" si="53"/>
        <v>0</v>
      </c>
      <c r="S48" s="83" t="s">
        <v>522</v>
      </c>
      <c r="CI48" t="s">
        <v>553</v>
      </c>
      <c r="CJ48" s="183">
        <f t="shared" si="39"/>
        <v>0</v>
      </c>
      <c r="CK48" s="181"/>
      <c r="CL48" s="181"/>
      <c r="CM48" s="181"/>
      <c r="CO48" t="s">
        <v>554</v>
      </c>
      <c r="CP48" s="183">
        <f t="shared" si="40"/>
        <v>0</v>
      </c>
      <c r="CQ48" s="181"/>
      <c r="CR48" s="181"/>
      <c r="CS48" s="181"/>
      <c r="CZ48">
        <f>SUM(N15:N243)</f>
        <v>3538</v>
      </c>
    </row>
    <row r="49" spans="2:97" x14ac:dyDescent="0.25">
      <c r="B49" s="181"/>
      <c r="C49" s="73">
        <v>600</v>
      </c>
      <c r="D49" s="29" t="s">
        <v>87</v>
      </c>
      <c r="E49" s="29" t="s">
        <v>521</v>
      </c>
      <c r="F49" s="29" t="s">
        <v>21</v>
      </c>
      <c r="G49" s="29">
        <v>12</v>
      </c>
      <c r="H49" s="29">
        <v>5</v>
      </c>
      <c r="I49" s="29">
        <v>10</v>
      </c>
      <c r="J49" s="29">
        <f>IF(F49=$K$1,2*$K$2+2*$K$3+$K$5,
IF(F49=$L$1,2*$L$2+2*$L$3+$L$5,
IF(F49=$M$1,2*$M$2+2*$M$3+$M$5,
IF(F49=$N$1,2*$N$2+2*$N$3+$N$5,
IF(F49=$O$1,2*$O$2+2*$O$3+$O$5,
IF(F49=$P$1,2*$P$2+2*$P$3+$P$5,
IF(F49=$Q$1,2*$Q$2+2*$Q$3+$Q$5,
IF(F49=$R$1,2*$R$2+2*$R$3+$R$5,
IF(F49=$S$1,2*$S$2+2*$S$3+$S$5,"")))))))))</f>
        <v>31.6</v>
      </c>
      <c r="K49" s="29">
        <f>SUM(G49:J49)</f>
        <v>58.6</v>
      </c>
      <c r="L49" s="29">
        <f>CEILING(K49, 10)</f>
        <v>60</v>
      </c>
      <c r="M49" s="78" t="str">
        <f>(CONCATENATE(F49,"x",L49,"-",IF(F49=$K$1,$C$4,IF(F49=$L$1,$C$4,IF(F49=$M$1,$C$4,IF(F49=$N$1,$C$4,IF(F49=$O$1,$C$4,IF(F49=$P$1,$C$5,IF(F49=$Q$1,$C$5,IF(F49=$R$1,$C$5,IF(F49=$S$1,$C$5,0)))))))))))</f>
        <v>M12x60-HDG-8.8</v>
      </c>
      <c r="N49" s="86">
        <f>CEILING(IF(C48="Ø300",5*2+2*(C49-170)/90,IF(C48="Ø350",5*2+2*(C49-170)/90,IF(C48="Ø400",6*2+2*(C49-170)/90,IF(C48="Ø450",6*2+2*(C49-170)/90,IF(C48="Ø500",7*2+2*(C49-170)/90,IF(C48="Ø550",7*2+2*(C49-170)/90,IF(C48="Ø600",7*2+2*(C49-170)/90,IF(C48="Ø650",7*2+2*(C49-170)/90,IF(C48="Ø750",7*2+2*(C49-170)/90,IF(C48="Ø800",7*2+2*(C49-170)/90,IF(C48="Ø850",7*2+2*(C49-170)/90,IF(C48="Ø900",7*2+2*(C49-170)/90,IF(C48="Ø950",7*2+2*(C49-170)/90,IF(C48="Ø1000",7*2+2*(C49-170)/90,0)))))))))))))),1)</f>
        <v>24</v>
      </c>
      <c r="O49" s="86">
        <f t="shared" si="51"/>
        <v>24</v>
      </c>
      <c r="P49" s="29">
        <v>0</v>
      </c>
      <c r="Q49" s="86">
        <f>N49*2</f>
        <v>48</v>
      </c>
      <c r="R49" s="29">
        <f t="shared" si="53"/>
        <v>0</v>
      </c>
      <c r="S49" s="83" t="s">
        <v>541</v>
      </c>
      <c r="CI49" t="s">
        <v>555</v>
      </c>
      <c r="CJ49" s="183">
        <f t="shared" si="39"/>
        <v>0</v>
      </c>
      <c r="CK49" s="181"/>
      <c r="CL49" s="181"/>
      <c r="CM49" s="181"/>
      <c r="CO49" t="s">
        <v>556</v>
      </c>
      <c r="CP49" s="183">
        <f t="shared" si="40"/>
        <v>0</v>
      </c>
      <c r="CQ49" s="181"/>
      <c r="CR49" s="181"/>
      <c r="CS49" s="181"/>
    </row>
    <row r="50" spans="2:97" x14ac:dyDescent="0.25">
      <c r="B50" s="181"/>
      <c r="C50" s="73" t="s">
        <v>557</v>
      </c>
      <c r="D50" s="29" t="s">
        <v>367</v>
      </c>
      <c r="E50" s="29" t="s">
        <v>521</v>
      </c>
      <c r="F50" s="29" t="str">
        <f>IF(C50="SD-11/01","M10",IF(C50="SD-11/02","M10",IF(C50="SD-11/03","M12",IF(C50="SD-11/04","M12",IF(C50="SD-11/05","M12",IF(C50="SD-11/06","M12",IF(C50="SD-11/07","M12",IF(C50="SD-11/08","M12",IF(C50="SD-11/09","M12",IF(C50="SD-11/10","M16",IF(C50="SD-11/11","M20",0)))))))))))</f>
        <v>M10</v>
      </c>
      <c r="G50" s="182"/>
      <c r="H50" s="181"/>
      <c r="I50" s="181"/>
      <c r="J50" s="29">
        <f>IF(F50=$K$1,$K$2+2*$K$3+$K$5,
IF(F50=$L$1,$L$2+2*$L$3+$L$5,
IF(F50=$M$1,$M$2+2*$M$3+$M$5,
IF(F50=$N$1,$N$2+2*$N$3+$N$5,
IF(F50=$O$1,$O$2+2*$O$3+$O$5,
IF(F50=$P$1,$P$2+2*$P$3+$P$5,
IF(F50=$Q$1,$Q$2+2*$Q$3+$Q$5,
IF(F50=$R$1,$R$2+2*$R$3+$R$5,
IF(F50=$S$1,$S$2+2*$S$3+$S$5,"")))))))))</f>
        <v>17.399999999999999</v>
      </c>
      <c r="K50" s="29"/>
      <c r="L50" s="29">
        <f>IF(C50="SD-11/01",75,IF(C50="SD-11/02",75,IF(C50="SD-11/03",85,IF(C50="SD-11/04",85,IF(C50="SD-11/05",85,75)))))</f>
        <v>75</v>
      </c>
      <c r="M50" s="78" t="str">
        <f>(CONCATENATE(F50,"-STUDx",L50,"-",IF(F50=$K$1,$C$4,IF(F50=$L$1,$C$4,IF(F50=$M$1,$C$4,IF(F50=$N$1,$C$4,IF(F50=$O$1,$C$4,IF(F50=$P$1,$C$5,IF(F50=$Q$1,$C$5,IF(F50=$R$1,$C$5,IF(F50=$S$1,$C$5,0)))))))))))</f>
        <v>M10-STUDx75-HDG-8.8</v>
      </c>
      <c r="N50" s="86">
        <f>IF(C50="SD-11/01",4,IF(C50="SD-11/02",6,IF(C50="SD-11/03",6,IF(C50="SD-11/04",6,IF(C50="SD-11/05",6,IF(C50="SD-11/06",6,IF(C50="SD-11/07",6,IF(C50="SD-11/08",8,IF(C50="SD-11/09",12,IF(C50="SD-11/10",12,IF(C50="SD-11/11",12,0)))))))))))</f>
        <v>4</v>
      </c>
      <c r="O50" s="86">
        <f t="shared" si="51"/>
        <v>4</v>
      </c>
      <c r="P50" s="29">
        <v>0</v>
      </c>
      <c r="Q50" s="86">
        <f>N50*1</f>
        <v>4</v>
      </c>
      <c r="R50" s="29">
        <f t="shared" si="53"/>
        <v>0</v>
      </c>
      <c r="S50" s="83" t="s">
        <v>529</v>
      </c>
    </row>
    <row r="51" spans="2:97" x14ac:dyDescent="0.25">
      <c r="B51" s="181"/>
      <c r="C51" s="73" t="s">
        <v>532</v>
      </c>
      <c r="D51" s="29" t="s">
        <v>87</v>
      </c>
      <c r="E51" s="29" t="s">
        <v>521</v>
      </c>
      <c r="F51" s="29" t="s">
        <v>22</v>
      </c>
      <c r="G51" s="29">
        <v>12</v>
      </c>
      <c r="H51" s="29">
        <v>0</v>
      </c>
      <c r="I51" s="29">
        <v>17</v>
      </c>
      <c r="J51" s="29">
        <f>IF(F51=$K$1,$K$2+2*$K$3+$K$5,
IF(F51=$L$1,$L$2+2*$L$3+$L$5,
IF(F51=$M$1,$M$2+2*$M$3+$M$5,
IF(F51=$N$1,$N$2+2*$N$3+$N$5,
IF(F51=$O$1,$O$2+2*$O$3+$O$5,
IF(F51=$P$1,$P$2+2*$P$3+$P$5,
IF(F51=$Q$1,$Q$2+2*$Q$3+$Q$5,
IF(F51=$R$1,$R$2+2*$R$3+$R$5,
IF(F51=$S$1,$S$2+2*$S$3+$S$5,"")))))))))</f>
        <v>25.8</v>
      </c>
      <c r="K51" s="29">
        <f>SUM(G51:J51)</f>
        <v>54.8</v>
      </c>
      <c r="L51" s="29">
        <f>CEILING(K51, 10)</f>
        <v>60</v>
      </c>
      <c r="M51" s="78" t="str">
        <f>(CONCATENATE(F51,"x",L51,"-",IF(F51=$K$1,$C$4,IF(F51=$L$1,$C$4,IF(F51=$M$1,$C$4,IF(F51=$N$1,$C$4,IF(F51=$O$1,$C$4,IF(F51=$P$1,$C$5,IF(F51=$Q$1,$C$5,IF(F51=$R$1,$C$5,IF(F51=$S$1,$C$5,0)))))))))))</f>
        <v>M16x60-HDG-8.8</v>
      </c>
      <c r="N51" s="86">
        <f>IF(C51="NO CT", 0, 4)</f>
        <v>4</v>
      </c>
      <c r="O51" s="86">
        <f t="shared" si="51"/>
        <v>4</v>
      </c>
      <c r="P51" s="29">
        <v>0</v>
      </c>
      <c r="Q51" s="86">
        <f>N51*2</f>
        <v>8</v>
      </c>
      <c r="R51" s="29">
        <f t="shared" si="53"/>
        <v>0</v>
      </c>
      <c r="S51" s="83" t="s">
        <v>533</v>
      </c>
    </row>
    <row r="52" spans="2:97" x14ac:dyDescent="0.25">
      <c r="B52" s="189" t="s">
        <v>558</v>
      </c>
      <c r="C52" s="73" t="s">
        <v>520</v>
      </c>
      <c r="D52" s="29" t="s">
        <v>87</v>
      </c>
      <c r="E52" s="29" t="s">
        <v>538</v>
      </c>
      <c r="F52" s="29" t="str">
        <f>IF(C52="Ø300","M12",IF(C52="Ø350","M12",IF(C52="Ø400","M12",IF(C52="Ø450","M12",IF(C52="Ø500","M12",IF(C52="Ø550","M12",IF(C52="Ø600","M12",IF(C52="Ø650","M12",IF(C52="Ø700","M12",IF(C52="Ø750","M12","M16"))))))))))</f>
        <v>M12</v>
      </c>
      <c r="G52" s="29">
        <v>12</v>
      </c>
      <c r="H52" s="29">
        <v>0</v>
      </c>
      <c r="I52" s="29">
        <v>25</v>
      </c>
      <c r="J52" s="29">
        <f>IF(F52=$K$1,$K$2+2*$K$3+$K$5,
IF(F52=$L$1,$L$2+2*$L$3+$L$5,
IF(F52=$M$1,$M$2+2*$M$3+$M$5,
IF(F52=$N$1,$N$2+2*$N$3+$N$5,
IF(F52=$O$1,$O$2+2*$O$3+$O$5,
IF(F52=$P$1,$P$2+2*$P$3+$P$5,
IF(F52=$Q$1,$Q$2+2*$Q$3+$Q$5,
IF(F52=$R$1,$R$2+2*$R$3+$R$5,
IF(F52=$S$1,$S$2+2*$S$3+$S$5,"")))))))))</f>
        <v>20.8</v>
      </c>
      <c r="K52" s="29">
        <f>SUM(G52:J52)</f>
        <v>57.8</v>
      </c>
      <c r="L52" s="29">
        <f>CEILING(K52, 10)</f>
        <v>60</v>
      </c>
      <c r="M52" s="78" t="str">
        <f>(CONCATENATE(F52,"x",L52,"-",IF(F52=$K$1,$C$4,IF(F52=$L$1,$C$4,IF(F52=$M$1,$C$4,IF(F52=$N$1,$C$4,IF(F52=$O$1,$C$4,IF(F52=$P$1,$C$5,IF(F52=$Q$1,$C$5,IF(F52=$R$1,$C$5,IF(F52=$S$1,$C$5,0)))))))))))</f>
        <v>M12x60-HDG-8.8</v>
      </c>
      <c r="N52" s="29">
        <f>IF(C52="Ø300",16,IF(C52="Ø350",16,IF(C52="Ø400",20,IF(C52="Ø450",20,IF(C52="Ø500",24,IF(C52="Ø550",24,IF(C52="Ø600",24,IF(C52="Ø650",24,IF(C52="Ø700",28,IF(C52="Ø750",32,IF(C52="Ø800",32,IF(C52="Ø850",32,IF(C52="Ø900",34,IF(C52="Ø950",34,IF(C52="Ø1000",34,0)))))))))))))))</f>
        <v>24</v>
      </c>
      <c r="O52" s="29">
        <f t="shared" si="51"/>
        <v>24</v>
      </c>
      <c r="P52" s="29">
        <v>0</v>
      </c>
      <c r="Q52" s="29">
        <f>N52*2</f>
        <v>48</v>
      </c>
      <c r="R52" s="29">
        <f t="shared" si="53"/>
        <v>0</v>
      </c>
      <c r="S52" s="83" t="s">
        <v>522</v>
      </c>
      <c r="CL52">
        <f>SUM(CJ14:CM48)</f>
        <v>0</v>
      </c>
      <c r="CR52">
        <f>SUM(CP14:CS49)</f>
        <v>2</v>
      </c>
    </row>
    <row r="53" spans="2:97" x14ac:dyDescent="0.25">
      <c r="B53" s="181"/>
      <c r="C53" s="73">
        <v>600</v>
      </c>
      <c r="D53" s="29" t="s">
        <v>87</v>
      </c>
      <c r="E53" s="29" t="s">
        <v>538</v>
      </c>
      <c r="F53" s="29" t="s">
        <v>21</v>
      </c>
      <c r="G53" s="29">
        <v>12</v>
      </c>
      <c r="H53" s="29">
        <v>5</v>
      </c>
      <c r="I53" s="29">
        <v>10</v>
      </c>
      <c r="J53" s="29">
        <f>IF(F53=$K$1,2*$K$2+2*$K$3+$K$5,
IF(F53=$L$1,2*$L$2+2*$L$3+$L$5,
IF(F53=$M$1,2*$M$2+2*$M$3+$M$5,
IF(F53=$N$1,2*$N$2+2*$N$3+$N$5,
IF(F53=$O$1,2*$O$2+2*$O$3+$O$5,
IF(F53=$P$1,2*$P$2+2*$P$3+$P$5,
IF(F53=$Q$1,2*$Q$2+2*$Q$3+$Q$5,
IF(F53=$R$1,2*$R$2+2*$R$3+$R$5,
IF(F53=$S$1,2*$S$2+2*$S$3+$S$5,"")))))))))</f>
        <v>31.6</v>
      </c>
      <c r="K53" s="29">
        <f>SUM(G53:J53)</f>
        <v>58.6</v>
      </c>
      <c r="L53" s="29">
        <f>CEILING(K53, 10)</f>
        <v>60</v>
      </c>
      <c r="M53" s="78" t="str">
        <f>(CONCATENATE(F53,"x",L53,"-",IF(F53=$K$1,$C$4,IF(F53=$L$1,$C$4,IF(F53=$M$1,$C$4,IF(F53=$N$1,$C$4,IF(F53=$O$1,$C$4,IF(F53=$P$1,$C$5,IF(F53=$Q$1,$C$5,IF(F53=$R$1,$C$5,IF(F53=$S$1,$C$5,0)))))))))))</f>
        <v>M12x60-HDG-8.8</v>
      </c>
      <c r="N53" s="86">
        <f>CEILING(IF(C52="Ø300",5*2+2*(C53-170)/90,IF(C52="Ø350",5*2+2*(C53-170)/90,IF(C52="Ø400",6*2+2*(C53-170)/90,IF(C52="Ø450",6*2+2*(C53-170)/90,IF(C52="Ø500",7*2+2*(C53-170)/90,IF(C52="Ø550",7*2+2*(C53-170)/90,IF(C52="Ø600",7*2+2*(C53-170)/90,IF(C52="Ø650",7*2+2*(C53-170)/90,IF(C52="Ø750",7*2+2*(C53-170)/90,IF(C52="Ø800",7*2+2*(C53-170)/90,IF(C52="Ø850",7*2+2*(C53-170)/90,IF(C52="Ø900",7*2+2*(C53-170)/90,IF(C52="Ø950",7*2+2*(C53-170)/90,IF(C52="Ø1000",7*2+2*(C53-170)/90,0)))))))))))))),1)</f>
        <v>24</v>
      </c>
      <c r="O53" s="86">
        <f t="shared" si="51"/>
        <v>24</v>
      </c>
      <c r="P53" s="29">
        <v>0</v>
      </c>
      <c r="Q53" s="86">
        <f>N53*2</f>
        <v>48</v>
      </c>
      <c r="R53" s="29">
        <f t="shared" si="53"/>
        <v>0</v>
      </c>
      <c r="S53" s="83" t="s">
        <v>541</v>
      </c>
    </row>
    <row r="54" spans="2:97" x14ac:dyDescent="0.25">
      <c r="B54" s="181"/>
      <c r="C54" s="73" t="s">
        <v>557</v>
      </c>
      <c r="D54" s="29" t="s">
        <v>367</v>
      </c>
      <c r="E54" s="29" t="s">
        <v>538</v>
      </c>
      <c r="F54" s="29" t="str">
        <f>IF(C54="SD-11/01","M10",IF(C54="SD-11/02","M10",IF(C54="SD-11/03","M12",IF(C54="SD-11/04","M12",IF(C54="SD-11/05","M12",IF(C54="SD-11/06","M12",IF(C54="SD-11/07","M12",IF(C54="SD-11/08","M12",IF(C54="SD-11/09","M12",IF(C54="SD-11/10","M16",IF(C54="SD-11/11","M20",0)))))))))))</f>
        <v>M10</v>
      </c>
      <c r="G54" s="182"/>
      <c r="H54" s="181"/>
      <c r="I54" s="181"/>
      <c r="J54" s="29">
        <f t="shared" ref="J54:J67" si="54">IF(F54=$K$1,$K$2+2*$K$3+$K$5,
IF(F54=$L$1,$L$2+2*$L$3+$L$5,
IF(F54=$M$1,$M$2+2*$M$3+$M$5,
IF(F54=$N$1,$N$2+2*$N$3+$N$5,
IF(F54=$O$1,$O$2+2*$O$3+$O$5,
IF(F54=$P$1,$P$2+2*$P$3+$P$5,
IF(F54=$Q$1,$Q$2+2*$Q$3+$Q$5,
IF(F54=$R$1,$R$2+2*$R$3+$R$5,
IF(F54=$S$1,$S$2+2*$S$3+$S$5,"")))))))))</f>
        <v>17.399999999999999</v>
      </c>
      <c r="K54" s="29"/>
      <c r="L54" s="29">
        <f>IF(C54="SD-11/01",75,IF(C54="SD-11/02",75,IF(C54="SD-11/03",85,IF(C54="SD-11/04",85,IF(C54="SD-11/05",85,75)))))</f>
        <v>75</v>
      </c>
      <c r="M54" s="78" t="str">
        <f>(CONCATENATE(F54,"-STUDx",L54,"-",IF(F54=$K$1,$C$4,IF(F54=$L$1,$C$4,IF(F54=$M$1,$C$4,IF(F54=$N$1,$C$4,IF(F54=$O$1,$C$4,IF(F54=$P$1,$C$5,IF(F54=$Q$1,$C$5,IF(F54=$R$1,$C$5,IF(F54=$S$1,$C$5,0)))))))))))</f>
        <v>M10-STUDx75-HDG-8.8</v>
      </c>
      <c r="N54" s="86">
        <f>IF(C54="SD-11/01",4,IF(C54="SD-11/02",6,IF(C54="SD-11/03",6,IF(C54="SD-11/04",6,IF(C54="SD-11/05",6,IF(C54="SD-11/06",6,IF(C54="SD-11/07",6,IF(C54="SD-11/08",8,IF(C54="SD-11/09",12,IF(C54="SD-11/10",12,IF(C54="SD-11/11",12)))))))))))</f>
        <v>4</v>
      </c>
      <c r="O54" s="86">
        <f t="shared" si="51"/>
        <v>4</v>
      </c>
      <c r="P54" s="29">
        <v>0</v>
      </c>
      <c r="Q54" s="86">
        <f>N54*1</f>
        <v>4</v>
      </c>
      <c r="R54" s="29">
        <f t="shared" si="53"/>
        <v>0</v>
      </c>
      <c r="S54" s="83" t="s">
        <v>529</v>
      </c>
    </row>
    <row r="55" spans="2:97" x14ac:dyDescent="0.25">
      <c r="B55" s="181"/>
      <c r="C55" s="73" t="s">
        <v>520</v>
      </c>
      <c r="D55" s="29" t="s">
        <v>87</v>
      </c>
      <c r="E55" s="29"/>
      <c r="F55" s="29" t="str">
        <f>IF(C55="Ø300","M12",IF(C55="Ø350","M12",IF(C55="Ø400","M12",IF(C55="Ø450","M12",IF(C55="Ø500","M12",IF(C55="Ø550","M12",IF(C55="Ø600","M12",IF(C55="Ø650","M12",IF(C55="Ø700","M12",IF(C55="Ø750","M12","M16"))))))))))</f>
        <v>M12</v>
      </c>
      <c r="G55" s="29">
        <v>12</v>
      </c>
      <c r="H55" s="29"/>
      <c r="I55" s="29">
        <v>25</v>
      </c>
      <c r="J55" s="29">
        <f t="shared" si="54"/>
        <v>20.8</v>
      </c>
      <c r="K55" s="29">
        <f t="shared" ref="K55:K86" si="55">SUM(G55:J55)</f>
        <v>57.8</v>
      </c>
      <c r="L55" s="29">
        <f>IF(C55="SD-11/01",75,IF(C55="SD-11/02",75,IF(C55="SD-11/03",85,IF(C55="SD-11/04",85,IF(C55="SD-11/05",85,75)))))</f>
        <v>75</v>
      </c>
      <c r="M55" s="78" t="str">
        <f>(CONCATENATE(F55,"x",L55,"-",IF(F55=$K$1,$C$4,IF(F55=$L$1,$C$4,IF(F55=$M$1,$C$4,IF(F55=$N$1,$C$4,IF(F55=$O$1,$C$4,IF(F55=$P$1,$C$5,IF(F55=$Q$1,$C$5,IF(F55=$R$1,$C$5,IF(F55=$S$1,$C$5,0)))))))))))</f>
        <v>M12x75-HDG-8.8</v>
      </c>
      <c r="N55" s="86">
        <f>IF(C55="Ø300",16,IF(C55="Ø350",16,IF(C55="Ø400",20,IF(C55="Ø450",20,IF(C55="Ø500",24,IF(C55="Ø550",24,IF(C55="Ø600",24,IF(C55="Ø650",24,IF(C55="Ø700",28,IF(C55="Ø750",32,IF(C55="Ø800",32,IF(C55="Ø850",32,IF(C55="Ø900",34,IF(C55="Ø950",34,IF(C55="Ø1000",34,0)))))))))))))))</f>
        <v>24</v>
      </c>
      <c r="O55" s="86">
        <f t="shared" si="51"/>
        <v>24</v>
      </c>
      <c r="P55" s="29">
        <v>0</v>
      </c>
      <c r="Q55" s="86">
        <f>O55*2</f>
        <v>48</v>
      </c>
      <c r="R55" s="29">
        <v>0</v>
      </c>
      <c r="S55" s="83" t="s">
        <v>547</v>
      </c>
    </row>
    <row r="56" spans="2:97" x14ac:dyDescent="0.25">
      <c r="B56" s="181"/>
      <c r="C56" s="73" t="s">
        <v>532</v>
      </c>
      <c r="D56" s="29" t="s">
        <v>87</v>
      </c>
      <c r="E56" s="29" t="s">
        <v>538</v>
      </c>
      <c r="F56" s="29" t="s">
        <v>22</v>
      </c>
      <c r="G56" s="29">
        <v>12</v>
      </c>
      <c r="H56" s="29">
        <v>0</v>
      </c>
      <c r="I56" s="29">
        <v>17</v>
      </c>
      <c r="J56" s="29">
        <f t="shared" si="54"/>
        <v>25.8</v>
      </c>
      <c r="K56" s="29">
        <f t="shared" si="55"/>
        <v>54.8</v>
      </c>
      <c r="L56" s="29">
        <f t="shared" ref="L56:L89" si="56">CEILING(K56, 10)</f>
        <v>60</v>
      </c>
      <c r="M56" s="78" t="str">
        <f>(CONCATENATE(F56,"x",L56,"-",IF(F56=$K$1,$C$4,IF(F56=$L$1,$C$4,IF(F56=$M$1,$C$4,IF(F56=$N$1,$C$4,IF(F56=$O$1,$C$4,IF(F56=$P$1,$C$5,IF(F56=$Q$1,$C$5,IF(F56=$R$1,$C$5,IF(F56=$S$1,$C$5,0)))))))))))</f>
        <v>M16x60-HDG-8.8</v>
      </c>
      <c r="N56" s="86">
        <f>IF(C56="NO CT", 0, 4)</f>
        <v>4</v>
      </c>
      <c r="O56" s="86">
        <f t="shared" si="51"/>
        <v>4</v>
      </c>
      <c r="P56" s="29">
        <v>0</v>
      </c>
      <c r="Q56" s="86">
        <f>N56*2</f>
        <v>8</v>
      </c>
      <c r="R56" s="29">
        <f>N56*0</f>
        <v>0</v>
      </c>
      <c r="S56" s="83" t="s">
        <v>533</v>
      </c>
    </row>
    <row r="57" spans="2:97" x14ac:dyDescent="0.25">
      <c r="B57" s="79" t="s">
        <v>559</v>
      </c>
      <c r="C57" s="73" t="s">
        <v>560</v>
      </c>
      <c r="D57" s="29" t="s">
        <v>367</v>
      </c>
      <c r="E57" s="29" t="s">
        <v>561</v>
      </c>
      <c r="F57" s="29" t="s">
        <v>21</v>
      </c>
      <c r="G57" s="29">
        <v>16</v>
      </c>
      <c r="H57" s="29">
        <v>0</v>
      </c>
      <c r="I57" s="29">
        <v>16</v>
      </c>
      <c r="J57" s="29">
        <f t="shared" si="54"/>
        <v>20.8</v>
      </c>
      <c r="K57" s="29">
        <f t="shared" si="55"/>
        <v>52.8</v>
      </c>
      <c r="L57" s="29">
        <f t="shared" si="56"/>
        <v>60</v>
      </c>
      <c r="M57" s="78" t="str">
        <f t="shared" ref="M57:M65" si="57">(CONCATENATE(F57,"-STUDx",L57,"-",IF(F57=$K$1,$C$4,IF(F57=$L$1,$C$4,IF(F57=$M$1,$C$4,IF(F57=$N$1,$C$4,IF(F57=$O$1,$C$4,IF(F57=$P$1,$C$5,IF(F57=$Q$1,$C$5,IF(F57=$R$1,$C$5,IF(F57=$S$1,$C$5,0)))))))))))</f>
        <v>M12-STUDx60-HDG-8.8</v>
      </c>
      <c r="N57" s="29">
        <f>0</f>
        <v>0</v>
      </c>
      <c r="O57" s="29">
        <f t="shared" ref="O57:O64" si="58">IF(C57="ASM-1",16,IF(C57="ASM-2",16,IF(C57="ASM-3",20,IF(C57="ASM-4",16,IF(C57="ASM-5",20,IF(C57="ASM-6",22,IF(C57="ASM-7",20,IF(C57="ASM-8",24,IF(C57="ASM-9",26,IF(C57="ASM-10",30,IF(C57="ASM-11",32,IF(C57="ASM-12",38,IF(C57="ASM-13",28,IF(C57="ASM-14",32))))))))))))))</f>
        <v>16</v>
      </c>
      <c r="P57" s="29">
        <v>0</v>
      </c>
      <c r="Q57" s="29">
        <f t="shared" ref="Q57:Q64" si="59">O57*1</f>
        <v>16</v>
      </c>
      <c r="R57" s="29">
        <f t="shared" ref="R57:R64" si="60">O57*0</f>
        <v>0</v>
      </c>
    </row>
    <row r="58" spans="2:97" x14ac:dyDescent="0.25">
      <c r="B58" s="79" t="s">
        <v>562</v>
      </c>
      <c r="C58" s="73" t="s">
        <v>563</v>
      </c>
      <c r="D58" s="29" t="s">
        <v>367</v>
      </c>
      <c r="E58" s="29" t="s">
        <v>561</v>
      </c>
      <c r="F58" s="29" t="s">
        <v>21</v>
      </c>
      <c r="G58" s="29">
        <v>16</v>
      </c>
      <c r="H58" s="29">
        <v>0</v>
      </c>
      <c r="I58" s="29">
        <v>16</v>
      </c>
      <c r="J58" s="29">
        <f t="shared" si="54"/>
        <v>20.8</v>
      </c>
      <c r="K58" s="29">
        <f t="shared" si="55"/>
        <v>52.8</v>
      </c>
      <c r="L58" s="29">
        <f t="shared" si="56"/>
        <v>60</v>
      </c>
      <c r="M58" s="78" t="str">
        <f t="shared" si="57"/>
        <v>M12-STUDx60-HDG-8.8</v>
      </c>
      <c r="N58" s="29">
        <f>0</f>
        <v>0</v>
      </c>
      <c r="O58" s="29">
        <f t="shared" si="58"/>
        <v>16</v>
      </c>
      <c r="P58" s="29">
        <v>0</v>
      </c>
      <c r="Q58" s="29">
        <f t="shared" si="59"/>
        <v>16</v>
      </c>
      <c r="R58" s="29">
        <f t="shared" si="60"/>
        <v>0</v>
      </c>
    </row>
    <row r="59" spans="2:97" x14ac:dyDescent="0.25">
      <c r="B59" s="79" t="s">
        <v>564</v>
      </c>
      <c r="C59" s="73" t="s">
        <v>565</v>
      </c>
      <c r="D59" s="29" t="s">
        <v>367</v>
      </c>
      <c r="E59" s="29" t="s">
        <v>561</v>
      </c>
      <c r="F59" s="29" t="s">
        <v>21</v>
      </c>
      <c r="G59" s="29">
        <v>16</v>
      </c>
      <c r="H59" s="29">
        <v>0</v>
      </c>
      <c r="I59" s="29">
        <v>16</v>
      </c>
      <c r="J59" s="29">
        <f t="shared" si="54"/>
        <v>20.8</v>
      </c>
      <c r="K59" s="29">
        <f t="shared" si="55"/>
        <v>52.8</v>
      </c>
      <c r="L59" s="29">
        <f t="shared" si="56"/>
        <v>60</v>
      </c>
      <c r="M59" s="78" t="str">
        <f t="shared" si="57"/>
        <v>M12-STUDx60-HDG-8.8</v>
      </c>
      <c r="N59" s="29">
        <f>0</f>
        <v>0</v>
      </c>
      <c r="O59" s="29">
        <f t="shared" si="58"/>
        <v>32</v>
      </c>
      <c r="P59" s="29">
        <v>0</v>
      </c>
      <c r="Q59" s="29">
        <f t="shared" si="59"/>
        <v>32</v>
      </c>
      <c r="R59" s="29">
        <f t="shared" si="60"/>
        <v>0</v>
      </c>
    </row>
    <row r="60" spans="2:97" x14ac:dyDescent="0.25">
      <c r="B60" s="79" t="s">
        <v>566</v>
      </c>
      <c r="C60" s="73" t="s">
        <v>567</v>
      </c>
      <c r="D60" s="29" t="s">
        <v>367</v>
      </c>
      <c r="E60" s="29" t="s">
        <v>561</v>
      </c>
      <c r="F60" s="29" t="s">
        <v>21</v>
      </c>
      <c r="G60" s="29">
        <v>16</v>
      </c>
      <c r="H60" s="29">
        <v>0</v>
      </c>
      <c r="I60" s="29">
        <v>16</v>
      </c>
      <c r="J60" s="29">
        <f t="shared" si="54"/>
        <v>20.8</v>
      </c>
      <c r="K60" s="29">
        <f t="shared" si="55"/>
        <v>52.8</v>
      </c>
      <c r="L60" s="29">
        <f t="shared" si="56"/>
        <v>60</v>
      </c>
      <c r="M60" s="78" t="str">
        <f t="shared" si="57"/>
        <v>M12-STUDx60-HDG-8.8</v>
      </c>
      <c r="N60" s="29">
        <f>0</f>
        <v>0</v>
      </c>
      <c r="O60" s="29">
        <f t="shared" si="58"/>
        <v>28</v>
      </c>
      <c r="P60" s="29">
        <v>0</v>
      </c>
      <c r="Q60" s="29">
        <f t="shared" si="59"/>
        <v>28</v>
      </c>
      <c r="R60" s="29">
        <f t="shared" si="60"/>
        <v>0</v>
      </c>
    </row>
    <row r="61" spans="2:97" x14ac:dyDescent="0.25">
      <c r="B61" s="79" t="s">
        <v>568</v>
      </c>
      <c r="C61" s="73" t="s">
        <v>569</v>
      </c>
      <c r="D61" s="29" t="s">
        <v>367</v>
      </c>
      <c r="E61" s="29" t="s">
        <v>561</v>
      </c>
      <c r="F61" s="29" t="s">
        <v>21</v>
      </c>
      <c r="G61" s="29">
        <v>16</v>
      </c>
      <c r="H61" s="29">
        <v>0</v>
      </c>
      <c r="I61" s="29">
        <v>16</v>
      </c>
      <c r="J61" s="29">
        <f t="shared" si="54"/>
        <v>20.8</v>
      </c>
      <c r="K61" s="29">
        <f t="shared" si="55"/>
        <v>52.8</v>
      </c>
      <c r="L61" s="29">
        <f t="shared" si="56"/>
        <v>60</v>
      </c>
      <c r="M61" s="78" t="str">
        <f t="shared" si="57"/>
        <v>M12-STUDx60-HDG-8.8</v>
      </c>
      <c r="N61" s="29">
        <f>0</f>
        <v>0</v>
      </c>
      <c r="O61" s="29">
        <f t="shared" si="58"/>
        <v>38</v>
      </c>
      <c r="P61" s="29">
        <v>0</v>
      </c>
      <c r="Q61" s="29">
        <f t="shared" si="59"/>
        <v>38</v>
      </c>
      <c r="R61" s="29">
        <f t="shared" si="60"/>
        <v>0</v>
      </c>
    </row>
    <row r="62" spans="2:97" x14ac:dyDescent="0.25">
      <c r="B62" s="79" t="s">
        <v>570</v>
      </c>
      <c r="C62" s="73" t="s">
        <v>571</v>
      </c>
      <c r="D62" s="29" t="s">
        <v>367</v>
      </c>
      <c r="E62" s="29" t="s">
        <v>561</v>
      </c>
      <c r="F62" s="29" t="s">
        <v>21</v>
      </c>
      <c r="G62" s="29">
        <v>16</v>
      </c>
      <c r="H62" s="29">
        <v>0</v>
      </c>
      <c r="I62" s="29">
        <v>16</v>
      </c>
      <c r="J62" s="29">
        <f t="shared" si="54"/>
        <v>20.8</v>
      </c>
      <c r="K62" s="29">
        <f t="shared" si="55"/>
        <v>52.8</v>
      </c>
      <c r="L62" s="29">
        <f t="shared" si="56"/>
        <v>60</v>
      </c>
      <c r="M62" s="78" t="str">
        <f t="shared" si="57"/>
        <v>M12-STUDx60-HDG-8.8</v>
      </c>
      <c r="N62" s="29">
        <f>0</f>
        <v>0</v>
      </c>
      <c r="O62" s="29">
        <f t="shared" si="58"/>
        <v>32</v>
      </c>
      <c r="P62" s="29">
        <v>0</v>
      </c>
      <c r="Q62" s="29">
        <f t="shared" si="59"/>
        <v>32</v>
      </c>
      <c r="R62" s="29">
        <f t="shared" si="60"/>
        <v>0</v>
      </c>
    </row>
    <row r="63" spans="2:97" x14ac:dyDescent="0.25">
      <c r="B63" s="79" t="s">
        <v>572</v>
      </c>
      <c r="C63" s="73" t="s">
        <v>573</v>
      </c>
      <c r="D63" s="29" t="s">
        <v>367</v>
      </c>
      <c r="E63" s="29" t="s">
        <v>561</v>
      </c>
      <c r="F63" s="29" t="s">
        <v>21</v>
      </c>
      <c r="G63" s="29">
        <v>16</v>
      </c>
      <c r="H63" s="29">
        <v>0</v>
      </c>
      <c r="I63" s="29">
        <v>16</v>
      </c>
      <c r="J63" s="29">
        <f t="shared" si="54"/>
        <v>20.8</v>
      </c>
      <c r="K63" s="29">
        <f t="shared" si="55"/>
        <v>52.8</v>
      </c>
      <c r="L63" s="29">
        <f t="shared" si="56"/>
        <v>60</v>
      </c>
      <c r="M63" s="78" t="str">
        <f t="shared" si="57"/>
        <v>M12-STUDx60-HDG-8.8</v>
      </c>
      <c r="N63" s="29">
        <f>0</f>
        <v>0</v>
      </c>
      <c r="O63" s="29">
        <f t="shared" si="58"/>
        <v>30</v>
      </c>
      <c r="P63" s="29">
        <v>0</v>
      </c>
      <c r="Q63" s="29">
        <f t="shared" si="59"/>
        <v>30</v>
      </c>
      <c r="R63" s="29">
        <f t="shared" si="60"/>
        <v>0</v>
      </c>
    </row>
    <row r="64" spans="2:97" x14ac:dyDescent="0.25">
      <c r="B64" s="79" t="s">
        <v>574</v>
      </c>
      <c r="C64" s="73" t="s">
        <v>575</v>
      </c>
      <c r="D64" s="29" t="s">
        <v>367</v>
      </c>
      <c r="E64" s="29" t="s">
        <v>561</v>
      </c>
      <c r="F64" s="29" t="s">
        <v>21</v>
      </c>
      <c r="G64" s="29">
        <v>16</v>
      </c>
      <c r="H64" s="29">
        <v>0</v>
      </c>
      <c r="I64" s="29">
        <v>16</v>
      </c>
      <c r="J64" s="29">
        <f t="shared" si="54"/>
        <v>20.8</v>
      </c>
      <c r="K64" s="29">
        <f t="shared" si="55"/>
        <v>52.8</v>
      </c>
      <c r="L64" s="29">
        <f t="shared" si="56"/>
        <v>60</v>
      </c>
      <c r="M64" s="78" t="str">
        <f t="shared" si="57"/>
        <v>M12-STUDx60-HDG-8.8</v>
      </c>
      <c r="N64" s="29">
        <f>0</f>
        <v>0</v>
      </c>
      <c r="O64" s="29">
        <f t="shared" si="58"/>
        <v>26</v>
      </c>
      <c r="P64" s="29">
        <v>0</v>
      </c>
      <c r="Q64" s="29">
        <f t="shared" si="59"/>
        <v>26</v>
      </c>
      <c r="R64" s="29">
        <f t="shared" si="60"/>
        <v>0</v>
      </c>
    </row>
    <row r="65" spans="2:18" x14ac:dyDescent="0.25">
      <c r="B65" s="79" t="s">
        <v>576</v>
      </c>
      <c r="C65" s="29">
        <v>1</v>
      </c>
      <c r="D65" s="29" t="s">
        <v>367</v>
      </c>
      <c r="E65" s="29" t="s">
        <v>577</v>
      </c>
      <c r="F65" s="29" t="s">
        <v>19</v>
      </c>
      <c r="G65" s="29">
        <v>16</v>
      </c>
      <c r="H65" s="29">
        <v>0</v>
      </c>
      <c r="I65" s="29">
        <v>15</v>
      </c>
      <c r="J65" s="29">
        <f t="shared" si="54"/>
        <v>15</v>
      </c>
      <c r="K65" s="29">
        <f t="shared" si="55"/>
        <v>46</v>
      </c>
      <c r="L65" s="29">
        <f t="shared" si="56"/>
        <v>50</v>
      </c>
      <c r="M65" s="78" t="str">
        <f t="shared" si="57"/>
        <v>M8-STUDx50-HDG-8.8</v>
      </c>
      <c r="N65" s="29">
        <f>C65*0</f>
        <v>0</v>
      </c>
      <c r="O65" s="29">
        <f>C65*10</f>
        <v>10</v>
      </c>
      <c r="P65" s="29">
        <v>0</v>
      </c>
      <c r="Q65" s="29">
        <f>C65*20</f>
        <v>20</v>
      </c>
      <c r="R65" s="29">
        <f>C65*0</f>
        <v>0</v>
      </c>
    </row>
    <row r="66" spans="2:18" x14ac:dyDescent="0.25">
      <c r="B66" s="189" t="s">
        <v>578</v>
      </c>
      <c r="C66" s="180" t="s">
        <v>579</v>
      </c>
      <c r="D66" s="29" t="s">
        <v>361</v>
      </c>
      <c r="E66" s="29" t="s">
        <v>580</v>
      </c>
      <c r="F66" s="29" t="s">
        <v>21</v>
      </c>
      <c r="G66" s="29">
        <v>12</v>
      </c>
      <c r="H66" s="29">
        <v>0</v>
      </c>
      <c r="I66" s="29">
        <v>12</v>
      </c>
      <c r="J66" s="29">
        <f t="shared" si="54"/>
        <v>20.8</v>
      </c>
      <c r="K66" s="29">
        <f t="shared" si="55"/>
        <v>44.8</v>
      </c>
      <c r="L66" s="29">
        <f t="shared" si="56"/>
        <v>50</v>
      </c>
      <c r="M66" s="78" t="str">
        <f t="shared" ref="M66:M85" si="61">(CONCATENATE(F66,"x",L66,"-",,IF(F66=$K$1,$C$4,IF(F66=$L$1,$C$4,IF(F66=$M$1,$C$4,IF(F66=$N$1,$C$4,IF(F66=$O$1,$C$4,IF(F66=$P$1,$C$5,IF(F66=$Q$1,$C$5,IF(F66=$R$1,$C$5,IF(F66=$S$1,$C$5,0)))))))))))</f>
        <v>M12x50-HDG-8.8</v>
      </c>
      <c r="N66" s="29">
        <f>IF(C66="SUPPORT 1",4,IF(C66="SUPPORT 2",8,IF(C66="SUPPORT 3",12,IF(C66="SUPPORT 4",16,""))))</f>
        <v>16</v>
      </c>
      <c r="O66" s="29">
        <f>N66*1</f>
        <v>16</v>
      </c>
      <c r="P66" s="29">
        <v>0</v>
      </c>
      <c r="Q66" s="29">
        <f>N66*2</f>
        <v>32</v>
      </c>
      <c r="R66" s="29">
        <f>N66*1</f>
        <v>16</v>
      </c>
    </row>
    <row r="67" spans="2:18" x14ac:dyDescent="0.25">
      <c r="B67" s="181"/>
      <c r="C67" s="181"/>
      <c r="D67" s="29" t="s">
        <v>361</v>
      </c>
      <c r="E67" s="29" t="s">
        <v>580</v>
      </c>
      <c r="F67" s="29" t="s">
        <v>19</v>
      </c>
      <c r="G67" s="29">
        <v>10</v>
      </c>
      <c r="H67" s="29">
        <v>0</v>
      </c>
      <c r="I67" s="29">
        <v>10</v>
      </c>
      <c r="J67" s="29">
        <f t="shared" si="54"/>
        <v>15</v>
      </c>
      <c r="K67" s="29">
        <f t="shared" si="55"/>
        <v>35</v>
      </c>
      <c r="L67" s="29">
        <f t="shared" si="56"/>
        <v>40</v>
      </c>
      <c r="M67" s="78" t="str">
        <f t="shared" si="61"/>
        <v>M8x40-HDG-8.8</v>
      </c>
      <c r="N67" s="29">
        <f>IF(C66="SUPPORT 1",4,IF(C66="SUPPORT 2",4,IF(C66="SUPPORT 3",4,IF(C66="SUPPORT 4",4,""))))</f>
        <v>4</v>
      </c>
      <c r="O67" s="29">
        <f>N67*1</f>
        <v>4</v>
      </c>
      <c r="P67" s="29">
        <v>0</v>
      </c>
      <c r="Q67" s="29">
        <f>N67*2</f>
        <v>8</v>
      </c>
      <c r="R67" s="29">
        <f>N67*2</f>
        <v>8</v>
      </c>
    </row>
    <row r="68" spans="2:18" x14ac:dyDescent="0.25">
      <c r="B68" s="79" t="s">
        <v>581</v>
      </c>
      <c r="C68" s="73">
        <v>1</v>
      </c>
      <c r="D68" s="29" t="s">
        <v>361</v>
      </c>
      <c r="E68" s="29" t="s">
        <v>213</v>
      </c>
      <c r="F68" s="29" t="s">
        <v>21</v>
      </c>
      <c r="G68" s="29">
        <v>15</v>
      </c>
      <c r="H68" s="29">
        <v>0</v>
      </c>
      <c r="I68" s="29">
        <v>15</v>
      </c>
      <c r="J68" s="29">
        <f t="shared" ref="J68:J99" si="62">IF(F68=$K$1,$K$2+2*$K$3+$K$5+$K$4*1,
IF(F68=$L$1,$L$2+2*$L$3+$L$5+$L$4*1,
IF(F68=$M$1,$M$2+2*$M$3+$M$5+$M$4*1,
IF(F68=$N$1,$N$2+2*$N$3+$N$5+$N$4*1,
IF(F68=$O$1,$O$2+2*$O$3+$O$5+$O$4*1,
IF(F68=$P$1,$P$2+2*$P$3+$P$5+$P$4*1,
IF(F68=$Q$1,$Q$2+2*$Q$3+$Q$5+$Q$4*1,
IF(F68=$R$1,$R$2+2*$R$3+$R$5+$R$4*1,
IF(F68=$S$1,$S$2+2*$S$3+$S$5+$S$4*1,"")))))))))</f>
        <v>23.3</v>
      </c>
      <c r="K68" s="29">
        <f t="shared" si="55"/>
        <v>53.3</v>
      </c>
      <c r="L68" s="29">
        <f t="shared" si="56"/>
        <v>60</v>
      </c>
      <c r="M68" s="78" t="str">
        <f t="shared" si="61"/>
        <v>M12x60-HDG-8.8</v>
      </c>
      <c r="N68" s="29">
        <f>C68*2</f>
        <v>2</v>
      </c>
      <c r="O68" s="29">
        <f>C68*2</f>
        <v>2</v>
      </c>
      <c r="P68" s="29">
        <f>C68*0</f>
        <v>0</v>
      </c>
      <c r="Q68" s="29">
        <f>C68*4</f>
        <v>4</v>
      </c>
      <c r="R68" s="29">
        <f>C68*4</f>
        <v>4</v>
      </c>
    </row>
    <row r="69" spans="2:18" x14ac:dyDescent="0.25">
      <c r="B69" s="79" t="s">
        <v>582</v>
      </c>
      <c r="C69" s="73">
        <v>1</v>
      </c>
      <c r="D69" s="29" t="s">
        <v>361</v>
      </c>
      <c r="E69" s="29" t="s">
        <v>583</v>
      </c>
      <c r="F69" s="29" t="s">
        <v>21</v>
      </c>
      <c r="G69" s="29">
        <v>15</v>
      </c>
      <c r="H69" s="29">
        <v>0</v>
      </c>
      <c r="I69" s="29">
        <v>15</v>
      </c>
      <c r="J69" s="29">
        <f t="shared" si="62"/>
        <v>23.3</v>
      </c>
      <c r="K69" s="29">
        <f t="shared" si="55"/>
        <v>53.3</v>
      </c>
      <c r="L69" s="29">
        <f t="shared" si="56"/>
        <v>60</v>
      </c>
      <c r="M69" s="78" t="str">
        <f t="shared" si="61"/>
        <v>M12x60-HDG-8.8</v>
      </c>
      <c r="N69" s="29">
        <f>C69*2</f>
        <v>2</v>
      </c>
      <c r="O69" s="29">
        <f>C69*2</f>
        <v>2</v>
      </c>
      <c r="P69" s="29">
        <v>0</v>
      </c>
      <c r="Q69" s="29">
        <f>C69*4</f>
        <v>4</v>
      </c>
      <c r="R69" s="29">
        <f>C69*4</f>
        <v>4</v>
      </c>
    </row>
    <row r="70" spans="2:18" x14ac:dyDescent="0.25">
      <c r="B70" s="189" t="s">
        <v>584</v>
      </c>
      <c r="C70" s="180" t="s">
        <v>585</v>
      </c>
      <c r="D70" s="29" t="s">
        <v>361</v>
      </c>
      <c r="E70" s="29" t="s">
        <v>586</v>
      </c>
      <c r="F70" s="29" t="s">
        <v>21</v>
      </c>
      <c r="G70" s="29">
        <v>8</v>
      </c>
      <c r="H70" s="29">
        <v>0</v>
      </c>
      <c r="I70" s="29">
        <v>8</v>
      </c>
      <c r="J70" s="29">
        <f t="shared" si="62"/>
        <v>23.3</v>
      </c>
      <c r="K70" s="29">
        <f t="shared" si="55"/>
        <v>39.299999999999997</v>
      </c>
      <c r="L70" s="29">
        <f t="shared" si="56"/>
        <v>40</v>
      </c>
      <c r="M70" s="78" t="str">
        <f t="shared" si="61"/>
        <v>M12x40-HDG-8.8</v>
      </c>
      <c r="N70" s="29">
        <f>IF(C70="SD-66/REF-1",4,IF(C70="SD-66/REF-2",6,IF(C70="SD-66/REF-3",6,IF(C70="SD-66/REF-4",6))))</f>
        <v>6</v>
      </c>
      <c r="O70" s="29">
        <f t="shared" ref="O70:O85" si="63">N70</f>
        <v>6</v>
      </c>
      <c r="P70" s="29">
        <v>0</v>
      </c>
      <c r="Q70" s="29">
        <f>N70*2</f>
        <v>12</v>
      </c>
      <c r="R70" s="29">
        <f t="shared" ref="R70:R85" si="64">N70</f>
        <v>6</v>
      </c>
    </row>
    <row r="71" spans="2:18" x14ac:dyDescent="0.25">
      <c r="B71" s="181"/>
      <c r="C71" s="181"/>
      <c r="D71" s="29" t="s">
        <v>361</v>
      </c>
      <c r="E71" s="29" t="s">
        <v>586</v>
      </c>
      <c r="F71" s="29" t="s">
        <v>17</v>
      </c>
      <c r="G71" s="29">
        <v>5</v>
      </c>
      <c r="H71" s="29">
        <v>0</v>
      </c>
      <c r="I71" s="29">
        <v>5</v>
      </c>
      <c r="J71" s="29">
        <f t="shared" si="62"/>
        <v>12.899999999999999</v>
      </c>
      <c r="K71" s="29">
        <f t="shared" si="55"/>
        <v>22.9</v>
      </c>
      <c r="L71" s="29">
        <f t="shared" si="56"/>
        <v>30</v>
      </c>
      <c r="M71" s="78" t="str">
        <f t="shared" si="61"/>
        <v>M5x30-HDG-8.8</v>
      </c>
      <c r="N71" s="29">
        <f>IF(C70="SD-66/REF-1",6,IF(C70="SD-66/REF-2",8,IF(C70="SD-66/REF-3",8,IF(C70="SD-66/REF-4",8))))</f>
        <v>8</v>
      </c>
      <c r="O71" s="29">
        <f t="shared" si="63"/>
        <v>8</v>
      </c>
      <c r="P71" s="29">
        <v>0</v>
      </c>
      <c r="Q71" s="29">
        <f>O71*2</f>
        <v>16</v>
      </c>
      <c r="R71" s="29">
        <f t="shared" si="64"/>
        <v>8</v>
      </c>
    </row>
    <row r="72" spans="2:18" x14ac:dyDescent="0.25">
      <c r="B72" s="79" t="s">
        <v>587</v>
      </c>
      <c r="C72" s="73" t="s">
        <v>588</v>
      </c>
      <c r="D72" s="29" t="s">
        <v>361</v>
      </c>
      <c r="E72" s="73">
        <v>1</v>
      </c>
      <c r="F72" s="29" t="str">
        <f>IF(C72="PART 1","M12",IF(C72="PART 2","M12",IF(C72="PART 3","M16")))</f>
        <v>M12</v>
      </c>
      <c r="G72" s="29">
        <v>10</v>
      </c>
      <c r="H72" s="29">
        <v>0</v>
      </c>
      <c r="I72" s="29">
        <v>10</v>
      </c>
      <c r="J72" s="29">
        <f t="shared" si="62"/>
        <v>23.3</v>
      </c>
      <c r="K72" s="29">
        <f t="shared" si="55"/>
        <v>43.3</v>
      </c>
      <c r="L72" s="29">
        <f t="shared" si="56"/>
        <v>50</v>
      </c>
      <c r="M72" s="78" t="str">
        <f t="shared" si="61"/>
        <v>M12x50-HDG-8.8</v>
      </c>
      <c r="N72" s="29">
        <f>E72*4</f>
        <v>4</v>
      </c>
      <c r="O72" s="29">
        <f t="shared" si="63"/>
        <v>4</v>
      </c>
      <c r="P72" s="29">
        <f>O72</f>
        <v>4</v>
      </c>
      <c r="Q72" s="29">
        <f t="shared" ref="Q72:Q85" si="65">N72*2</f>
        <v>8</v>
      </c>
      <c r="R72" s="29">
        <f t="shared" si="64"/>
        <v>4</v>
      </c>
    </row>
    <row r="73" spans="2:18" x14ac:dyDescent="0.25">
      <c r="B73" s="79" t="s">
        <v>589</v>
      </c>
      <c r="C73" s="73" t="s">
        <v>588</v>
      </c>
      <c r="D73" s="29" t="s">
        <v>361</v>
      </c>
      <c r="E73" s="73">
        <v>1</v>
      </c>
      <c r="F73" s="29" t="str">
        <f>IF(C73="PART 1","M12",IF(C73="PART 2","M12",IF(C73="PART 3","M16")))</f>
        <v>M12</v>
      </c>
      <c r="G73" s="29">
        <v>10</v>
      </c>
      <c r="H73" s="29">
        <v>0</v>
      </c>
      <c r="I73" s="29">
        <v>10</v>
      </c>
      <c r="J73" s="29">
        <f t="shared" si="62"/>
        <v>23.3</v>
      </c>
      <c r="K73" s="29">
        <f t="shared" si="55"/>
        <v>43.3</v>
      </c>
      <c r="L73" s="29">
        <f t="shared" si="56"/>
        <v>50</v>
      </c>
      <c r="M73" s="78" t="str">
        <f t="shared" si="61"/>
        <v>M12x50-HDG-8.8</v>
      </c>
      <c r="N73" s="29">
        <f>E73*4</f>
        <v>4</v>
      </c>
      <c r="O73" s="29">
        <f t="shared" si="63"/>
        <v>4</v>
      </c>
      <c r="P73" s="29">
        <f>O73</f>
        <v>4</v>
      </c>
      <c r="Q73" s="29">
        <f t="shared" si="65"/>
        <v>8</v>
      </c>
      <c r="R73" s="29">
        <f t="shared" si="64"/>
        <v>4</v>
      </c>
    </row>
    <row r="74" spans="2:18" x14ac:dyDescent="0.25">
      <c r="B74" s="79" t="s">
        <v>590</v>
      </c>
      <c r="C74" s="73" t="s">
        <v>588</v>
      </c>
      <c r="D74" s="29" t="s">
        <v>361</v>
      </c>
      <c r="E74" s="73">
        <v>1</v>
      </c>
      <c r="F74" s="29" t="str">
        <f>IF(C74="PART 1","M12",IF(C74="PART 2","M12",IF(C74="PART 3","M16")))</f>
        <v>M12</v>
      </c>
      <c r="G74" s="29">
        <v>10</v>
      </c>
      <c r="H74" s="29">
        <v>0</v>
      </c>
      <c r="I74" s="29">
        <v>10</v>
      </c>
      <c r="J74" s="29">
        <f t="shared" si="62"/>
        <v>23.3</v>
      </c>
      <c r="K74" s="29">
        <f t="shared" si="55"/>
        <v>43.3</v>
      </c>
      <c r="L74" s="29">
        <f t="shared" si="56"/>
        <v>50</v>
      </c>
      <c r="M74" s="78" t="str">
        <f t="shared" si="61"/>
        <v>M12x50-HDG-8.8</v>
      </c>
      <c r="N74" s="29">
        <f>E74*4</f>
        <v>4</v>
      </c>
      <c r="O74" s="29">
        <f t="shared" si="63"/>
        <v>4</v>
      </c>
      <c r="P74" s="29">
        <f>O74</f>
        <v>4</v>
      </c>
      <c r="Q74" s="29">
        <f t="shared" si="65"/>
        <v>8</v>
      </c>
      <c r="R74" s="29">
        <f t="shared" si="64"/>
        <v>4</v>
      </c>
    </row>
    <row r="75" spans="2:18" x14ac:dyDescent="0.25">
      <c r="B75" s="189" t="s">
        <v>591</v>
      </c>
      <c r="C75" s="180">
        <v>2</v>
      </c>
      <c r="D75" s="29" t="s">
        <v>361</v>
      </c>
      <c r="E75" s="182" t="s">
        <v>592</v>
      </c>
      <c r="F75" s="29" t="s">
        <v>20</v>
      </c>
      <c r="G75" s="29">
        <v>10</v>
      </c>
      <c r="H75" s="29">
        <v>0</v>
      </c>
      <c r="I75" s="29">
        <v>10</v>
      </c>
      <c r="J75" s="29">
        <f t="shared" si="62"/>
        <v>19.599999999999998</v>
      </c>
      <c r="K75" s="29">
        <f t="shared" si="55"/>
        <v>39.599999999999994</v>
      </c>
      <c r="L75" s="29">
        <f t="shared" si="56"/>
        <v>40</v>
      </c>
      <c r="M75" s="78" t="str">
        <f t="shared" si="61"/>
        <v>M10x40-HDG-8.8</v>
      </c>
      <c r="N75" s="29">
        <f>$C$75*4</f>
        <v>8</v>
      </c>
      <c r="O75" s="29">
        <f t="shared" si="63"/>
        <v>8</v>
      </c>
      <c r="P75" s="29">
        <v>0</v>
      </c>
      <c r="Q75" s="29">
        <f t="shared" si="65"/>
        <v>16</v>
      </c>
      <c r="R75" s="29">
        <f t="shared" si="64"/>
        <v>8</v>
      </c>
    </row>
    <row r="76" spans="2:18" x14ac:dyDescent="0.25">
      <c r="B76" s="181"/>
      <c r="C76" s="181"/>
      <c r="D76" s="29" t="s">
        <v>361</v>
      </c>
      <c r="E76" s="183"/>
      <c r="F76" s="29" t="s">
        <v>16</v>
      </c>
      <c r="G76" s="29">
        <v>5</v>
      </c>
      <c r="H76" s="29">
        <v>0</v>
      </c>
      <c r="I76" s="29">
        <v>5</v>
      </c>
      <c r="J76" s="29">
        <f t="shared" si="62"/>
        <v>12.200000000000001</v>
      </c>
      <c r="K76" s="29">
        <f t="shared" si="55"/>
        <v>22.200000000000003</v>
      </c>
      <c r="L76" s="29">
        <f t="shared" si="56"/>
        <v>30</v>
      </c>
      <c r="M76" s="78" t="str">
        <f t="shared" si="61"/>
        <v>M4x30-HDG-8.8</v>
      </c>
      <c r="N76" s="29">
        <f>$C$75*8</f>
        <v>16</v>
      </c>
      <c r="O76" s="29">
        <f t="shared" si="63"/>
        <v>16</v>
      </c>
      <c r="P76" s="29">
        <v>0</v>
      </c>
      <c r="Q76" s="29">
        <f t="shared" si="65"/>
        <v>32</v>
      </c>
      <c r="R76" s="29">
        <f t="shared" si="64"/>
        <v>16</v>
      </c>
    </row>
    <row r="77" spans="2:18" x14ac:dyDescent="0.25">
      <c r="B77" s="189" t="s">
        <v>593</v>
      </c>
      <c r="C77" s="180">
        <v>1</v>
      </c>
      <c r="D77" s="29" t="s">
        <v>361</v>
      </c>
      <c r="E77" s="182" t="s">
        <v>592</v>
      </c>
      <c r="F77" s="29" t="s">
        <v>20</v>
      </c>
      <c r="G77" s="29">
        <v>10</v>
      </c>
      <c r="H77" s="29">
        <v>0</v>
      </c>
      <c r="I77" s="29">
        <v>10</v>
      </c>
      <c r="J77" s="29">
        <f t="shared" si="62"/>
        <v>19.599999999999998</v>
      </c>
      <c r="K77" s="29">
        <f t="shared" si="55"/>
        <v>39.599999999999994</v>
      </c>
      <c r="L77" s="29">
        <f t="shared" si="56"/>
        <v>40</v>
      </c>
      <c r="M77" s="78" t="str">
        <f t="shared" si="61"/>
        <v>M10x40-HDG-8.8</v>
      </c>
      <c r="N77" s="29">
        <f>C77*4</f>
        <v>4</v>
      </c>
      <c r="O77" s="29">
        <f t="shared" si="63"/>
        <v>4</v>
      </c>
      <c r="P77" s="29">
        <v>0</v>
      </c>
      <c r="Q77" s="29">
        <f t="shared" si="65"/>
        <v>8</v>
      </c>
      <c r="R77" s="29">
        <f t="shared" si="64"/>
        <v>4</v>
      </c>
    </row>
    <row r="78" spans="2:18" x14ac:dyDescent="0.25">
      <c r="B78" s="181"/>
      <c r="C78" s="181"/>
      <c r="D78" s="29" t="s">
        <v>361</v>
      </c>
      <c r="E78" s="183"/>
      <c r="F78" s="29" t="s">
        <v>16</v>
      </c>
      <c r="G78" s="29">
        <v>5</v>
      </c>
      <c r="H78" s="29">
        <v>0</v>
      </c>
      <c r="I78" s="29">
        <v>5</v>
      </c>
      <c r="J78" s="29">
        <f t="shared" si="62"/>
        <v>12.200000000000001</v>
      </c>
      <c r="K78" s="29">
        <f t="shared" si="55"/>
        <v>22.200000000000003</v>
      </c>
      <c r="L78" s="29">
        <f t="shared" si="56"/>
        <v>30</v>
      </c>
      <c r="M78" s="78" t="str">
        <f t="shared" si="61"/>
        <v>M4x30-HDG-8.8</v>
      </c>
      <c r="N78" s="29">
        <f>$C$77*8</f>
        <v>8</v>
      </c>
      <c r="O78" s="29">
        <f t="shared" si="63"/>
        <v>8</v>
      </c>
      <c r="P78" s="29">
        <v>0</v>
      </c>
      <c r="Q78" s="29">
        <f t="shared" si="65"/>
        <v>16</v>
      </c>
      <c r="R78" s="29">
        <f t="shared" si="64"/>
        <v>8</v>
      </c>
    </row>
    <row r="79" spans="2:18" x14ac:dyDescent="0.25">
      <c r="B79" s="189" t="s">
        <v>594</v>
      </c>
      <c r="C79" s="180">
        <v>1</v>
      </c>
      <c r="D79" s="29" t="s">
        <v>361</v>
      </c>
      <c r="E79" s="182" t="s">
        <v>592</v>
      </c>
      <c r="F79" s="29" t="s">
        <v>20</v>
      </c>
      <c r="G79" s="29">
        <v>10</v>
      </c>
      <c r="H79" s="29">
        <v>0</v>
      </c>
      <c r="I79" s="29">
        <v>10</v>
      </c>
      <c r="J79" s="29">
        <f t="shared" si="62"/>
        <v>19.599999999999998</v>
      </c>
      <c r="K79" s="29">
        <f t="shared" si="55"/>
        <v>39.599999999999994</v>
      </c>
      <c r="L79" s="29">
        <f t="shared" si="56"/>
        <v>40</v>
      </c>
      <c r="M79" s="78" t="str">
        <f t="shared" si="61"/>
        <v>M10x40-HDG-8.8</v>
      </c>
      <c r="N79" s="29">
        <f>C79*4</f>
        <v>4</v>
      </c>
      <c r="O79" s="29">
        <f t="shared" si="63"/>
        <v>4</v>
      </c>
      <c r="P79" s="29">
        <v>0</v>
      </c>
      <c r="Q79" s="29">
        <f t="shared" si="65"/>
        <v>8</v>
      </c>
      <c r="R79" s="29">
        <f t="shared" si="64"/>
        <v>4</v>
      </c>
    </row>
    <row r="80" spans="2:18" x14ac:dyDescent="0.25">
      <c r="B80" s="181"/>
      <c r="C80" s="181"/>
      <c r="D80" s="29" t="s">
        <v>361</v>
      </c>
      <c r="E80" s="183"/>
      <c r="F80" s="29" t="s">
        <v>16</v>
      </c>
      <c r="G80" s="29">
        <v>5</v>
      </c>
      <c r="H80" s="29">
        <v>0</v>
      </c>
      <c r="I80" s="29">
        <v>5</v>
      </c>
      <c r="J80" s="29">
        <f t="shared" si="62"/>
        <v>12.200000000000001</v>
      </c>
      <c r="K80" s="29">
        <f t="shared" si="55"/>
        <v>22.200000000000003</v>
      </c>
      <c r="L80" s="29">
        <f t="shared" si="56"/>
        <v>30</v>
      </c>
      <c r="M80" s="78" t="str">
        <f t="shared" si="61"/>
        <v>M4x30-HDG-8.8</v>
      </c>
      <c r="N80" s="29">
        <f>C79*8</f>
        <v>8</v>
      </c>
      <c r="O80" s="29">
        <f t="shared" si="63"/>
        <v>8</v>
      </c>
      <c r="P80" s="29">
        <v>0</v>
      </c>
      <c r="Q80" s="29">
        <f t="shared" si="65"/>
        <v>16</v>
      </c>
      <c r="R80" s="29">
        <f t="shared" si="64"/>
        <v>8</v>
      </c>
    </row>
    <row r="81" spans="1:19" x14ac:dyDescent="0.25">
      <c r="B81" s="189" t="s">
        <v>595</v>
      </c>
      <c r="C81" s="180">
        <v>1</v>
      </c>
      <c r="D81" s="29" t="s">
        <v>361</v>
      </c>
      <c r="E81" s="182" t="s">
        <v>592</v>
      </c>
      <c r="F81" s="29" t="s">
        <v>20</v>
      </c>
      <c r="G81" s="29">
        <v>10</v>
      </c>
      <c r="H81" s="29">
        <v>0</v>
      </c>
      <c r="I81" s="29">
        <v>10</v>
      </c>
      <c r="J81" s="29">
        <f t="shared" si="62"/>
        <v>19.599999999999998</v>
      </c>
      <c r="K81" s="29">
        <f t="shared" si="55"/>
        <v>39.599999999999994</v>
      </c>
      <c r="L81" s="29">
        <f t="shared" si="56"/>
        <v>40</v>
      </c>
      <c r="M81" s="78" t="str">
        <f t="shared" si="61"/>
        <v>M10x40-HDG-8.8</v>
      </c>
      <c r="N81" s="29">
        <f>C81*4</f>
        <v>4</v>
      </c>
      <c r="O81" s="29">
        <f t="shared" si="63"/>
        <v>4</v>
      </c>
      <c r="P81" s="29">
        <v>0</v>
      </c>
      <c r="Q81" s="29">
        <f t="shared" si="65"/>
        <v>8</v>
      </c>
      <c r="R81" s="29">
        <f t="shared" si="64"/>
        <v>4</v>
      </c>
    </row>
    <row r="82" spans="1:19" x14ac:dyDescent="0.25">
      <c r="B82" s="181"/>
      <c r="C82" s="181"/>
      <c r="D82" s="29" t="s">
        <v>361</v>
      </c>
      <c r="E82" s="183"/>
      <c r="F82" s="29" t="s">
        <v>16</v>
      </c>
      <c r="G82" s="29">
        <v>5</v>
      </c>
      <c r="H82" s="29">
        <v>0</v>
      </c>
      <c r="I82" s="29">
        <v>5</v>
      </c>
      <c r="J82" s="29">
        <f t="shared" si="62"/>
        <v>12.200000000000001</v>
      </c>
      <c r="K82" s="29">
        <f t="shared" si="55"/>
        <v>22.200000000000003</v>
      </c>
      <c r="L82" s="29">
        <f t="shared" si="56"/>
        <v>30</v>
      </c>
      <c r="M82" s="78" t="str">
        <f t="shared" si="61"/>
        <v>M4x30-HDG-8.8</v>
      </c>
      <c r="N82" s="29">
        <f>C81*4</f>
        <v>4</v>
      </c>
      <c r="O82" s="29">
        <f t="shared" si="63"/>
        <v>4</v>
      </c>
      <c r="P82" s="29">
        <v>0</v>
      </c>
      <c r="Q82" s="29">
        <f t="shared" si="65"/>
        <v>8</v>
      </c>
      <c r="R82" s="29">
        <f t="shared" si="64"/>
        <v>4</v>
      </c>
    </row>
    <row r="83" spans="1:19" x14ac:dyDescent="0.25">
      <c r="B83" s="189" t="s">
        <v>596</v>
      </c>
      <c r="C83" s="180">
        <v>1</v>
      </c>
      <c r="D83" s="29" t="s">
        <v>361</v>
      </c>
      <c r="E83" s="29"/>
      <c r="F83" s="29" t="s">
        <v>20</v>
      </c>
      <c r="G83" s="29">
        <v>10</v>
      </c>
      <c r="H83" s="29">
        <v>0</v>
      </c>
      <c r="I83" s="29">
        <v>10</v>
      </c>
      <c r="J83" s="29">
        <f t="shared" si="62"/>
        <v>19.599999999999998</v>
      </c>
      <c r="K83" s="29">
        <f t="shared" si="55"/>
        <v>39.599999999999994</v>
      </c>
      <c r="L83" s="29">
        <f t="shared" si="56"/>
        <v>40</v>
      </c>
      <c r="M83" s="78" t="str">
        <f t="shared" si="61"/>
        <v>M10x40-HDG-8.8</v>
      </c>
      <c r="N83" s="29">
        <f>C83*4</f>
        <v>4</v>
      </c>
      <c r="O83" s="29">
        <f t="shared" si="63"/>
        <v>4</v>
      </c>
      <c r="P83" s="29">
        <v>0</v>
      </c>
      <c r="Q83" s="29">
        <f t="shared" si="65"/>
        <v>8</v>
      </c>
      <c r="R83" s="29">
        <f t="shared" si="64"/>
        <v>4</v>
      </c>
    </row>
    <row r="84" spans="1:19" x14ac:dyDescent="0.25">
      <c r="B84" s="181"/>
      <c r="C84" s="181"/>
      <c r="D84" s="29" t="s">
        <v>361</v>
      </c>
      <c r="E84" s="29"/>
      <c r="F84" s="29" t="s">
        <v>16</v>
      </c>
      <c r="G84" s="29">
        <v>5</v>
      </c>
      <c r="H84" s="29">
        <v>0</v>
      </c>
      <c r="I84" s="29">
        <v>5</v>
      </c>
      <c r="J84" s="29">
        <f t="shared" si="62"/>
        <v>12.200000000000001</v>
      </c>
      <c r="K84" s="29">
        <f t="shared" si="55"/>
        <v>22.200000000000003</v>
      </c>
      <c r="L84" s="29">
        <f t="shared" si="56"/>
        <v>30</v>
      </c>
      <c r="M84" s="78" t="str">
        <f t="shared" si="61"/>
        <v>M4x30-HDG-8.8</v>
      </c>
      <c r="N84" s="29">
        <f>C83*8</f>
        <v>8</v>
      </c>
      <c r="O84" s="29">
        <f t="shared" si="63"/>
        <v>8</v>
      </c>
      <c r="P84" s="29">
        <v>0</v>
      </c>
      <c r="Q84" s="29">
        <f t="shared" si="65"/>
        <v>16</v>
      </c>
      <c r="R84" s="29">
        <f t="shared" si="64"/>
        <v>8</v>
      </c>
    </row>
    <row r="85" spans="1:19" x14ac:dyDescent="0.25">
      <c r="B85" s="78" t="s">
        <v>597</v>
      </c>
      <c r="C85" s="73">
        <v>1</v>
      </c>
      <c r="D85" s="29" t="s">
        <v>361</v>
      </c>
      <c r="E85" s="29" t="s">
        <v>592</v>
      </c>
      <c r="F85" s="29" t="s">
        <v>19</v>
      </c>
      <c r="G85" s="29">
        <v>10</v>
      </c>
      <c r="H85" s="29">
        <v>0</v>
      </c>
      <c r="I85" s="29">
        <v>10</v>
      </c>
      <c r="J85" s="29">
        <f t="shared" si="62"/>
        <v>17</v>
      </c>
      <c r="K85" s="29">
        <f t="shared" si="55"/>
        <v>37</v>
      </c>
      <c r="L85" s="29">
        <f t="shared" si="56"/>
        <v>40</v>
      </c>
      <c r="M85" s="78" t="str">
        <f t="shared" si="61"/>
        <v>M8x40-HDG-8.8</v>
      </c>
      <c r="N85" s="29">
        <f>C85*8</f>
        <v>8</v>
      </c>
      <c r="O85" s="29">
        <f t="shared" si="63"/>
        <v>8</v>
      </c>
      <c r="P85" s="29">
        <v>0</v>
      </c>
      <c r="Q85" s="29">
        <f t="shared" si="65"/>
        <v>16</v>
      </c>
      <c r="R85" s="29">
        <f t="shared" si="64"/>
        <v>8</v>
      </c>
    </row>
    <row r="86" spans="1:19" x14ac:dyDescent="0.25">
      <c r="B86" s="78" t="s">
        <v>598</v>
      </c>
      <c r="C86" s="73">
        <v>1</v>
      </c>
      <c r="D86" s="29" t="s">
        <v>367</v>
      </c>
      <c r="E86" s="29" t="s">
        <v>599</v>
      </c>
      <c r="F86" s="29" t="s">
        <v>21</v>
      </c>
      <c r="G86" s="29">
        <v>5</v>
      </c>
      <c r="H86" s="29">
        <v>0</v>
      </c>
      <c r="I86" s="29">
        <v>5</v>
      </c>
      <c r="J86" s="29">
        <f t="shared" si="62"/>
        <v>23.3</v>
      </c>
      <c r="K86" s="29">
        <f t="shared" si="55"/>
        <v>33.299999999999997</v>
      </c>
      <c r="L86" s="29">
        <f t="shared" si="56"/>
        <v>40</v>
      </c>
      <c r="M86" s="78" t="str">
        <f>(CONCATENATE(F86, "-STUDx",L86,"-",IF(F86=$K$1,$C$4,IF(F86=$L$1,$C$4,IF(F86=$M$1,$C$4,IF(F86=$N$1,$C$4,IF(F86=$O$1,$C$4,IF(F86=$P$1,$C$5,IF(F86=$Q$1,$C$5,IF(F86=$R$1,$C$5,IF(F86=$S$1,$C$5,0)))))))))))</f>
        <v>M12-STUDx40-HDG-8.8</v>
      </c>
      <c r="N86" s="29">
        <f>50*0</f>
        <v>0</v>
      </c>
      <c r="O86" s="29">
        <f>C86*2</f>
        <v>2</v>
      </c>
      <c r="P86" s="29">
        <v>0</v>
      </c>
      <c r="Q86" s="29">
        <f>O86*1</f>
        <v>2</v>
      </c>
      <c r="R86" s="29">
        <f>50*0</f>
        <v>0</v>
      </c>
      <c r="S86" s="1"/>
    </row>
    <row r="87" spans="1:19" x14ac:dyDescent="0.25">
      <c r="B87" s="78" t="s">
        <v>598</v>
      </c>
      <c r="C87" s="73">
        <v>1</v>
      </c>
      <c r="D87" s="29" t="s">
        <v>367</v>
      </c>
      <c r="E87" s="29" t="s">
        <v>600</v>
      </c>
      <c r="F87" s="29" t="s">
        <v>20</v>
      </c>
      <c r="G87" s="29">
        <v>5</v>
      </c>
      <c r="H87" s="29">
        <v>0</v>
      </c>
      <c r="I87" s="29">
        <v>5</v>
      </c>
      <c r="J87" s="29">
        <f t="shared" si="62"/>
        <v>19.599999999999998</v>
      </c>
      <c r="K87" s="29">
        <f t="shared" ref="K87:K118" si="66">SUM(G87:J87)</f>
        <v>29.599999999999998</v>
      </c>
      <c r="L87" s="29">
        <f t="shared" si="56"/>
        <v>30</v>
      </c>
      <c r="M87" s="78" t="str">
        <f>(CONCATENATE(F87, "-STUDx",L87,"-",IF(F87=$K$1,$C$4,IF(F87=$L$1,$C$4,IF(F87=$M$1,$C$4,IF(F87=$N$1,$C$4,IF(F87=$O$1,$C$4,IF(F87=$P$1,$C$5,IF(F87=$Q$1,$C$5,IF(F87=$R$1,$C$5,IF(F87=$S$1,$C$5,0)))))))))))</f>
        <v>M10-STUDx30-HDG-8.8</v>
      </c>
      <c r="N87" s="29">
        <f>50*0</f>
        <v>0</v>
      </c>
      <c r="O87" s="29">
        <f>C87*4</f>
        <v>4</v>
      </c>
      <c r="P87" s="29">
        <v>0</v>
      </c>
      <c r="Q87" s="29">
        <f>O87*1</f>
        <v>4</v>
      </c>
      <c r="R87" s="29">
        <f>50*0</f>
        <v>0</v>
      </c>
    </row>
    <row r="88" spans="1:19" x14ac:dyDescent="0.25">
      <c r="B88" s="93" t="s">
        <v>601</v>
      </c>
      <c r="C88" s="73">
        <v>1</v>
      </c>
      <c r="D88" s="29" t="s">
        <v>361</v>
      </c>
      <c r="E88" s="29" t="s">
        <v>189</v>
      </c>
      <c r="F88" s="29" t="s">
        <v>20</v>
      </c>
      <c r="G88" s="29">
        <v>6</v>
      </c>
      <c r="H88" s="29">
        <v>5</v>
      </c>
      <c r="I88" s="29">
        <v>6</v>
      </c>
      <c r="J88" s="29">
        <f t="shared" si="62"/>
        <v>19.599999999999998</v>
      </c>
      <c r="K88" s="29">
        <f t="shared" si="66"/>
        <v>36.599999999999994</v>
      </c>
      <c r="L88" s="29">
        <f t="shared" si="56"/>
        <v>40</v>
      </c>
      <c r="M88" s="78" t="str">
        <f t="shared" ref="M88:M93" si="67">(CONCATENATE(F88,"x",L88,"-",IF(F88=$K$1,$C$4,IF(F88=$L$1,$C$4,IF(F88=$M$1,$C$4,IF(F88=$N$1,$C$4,IF(F88=$O$1,$C$4,IF(F88=$P$1,$C$5,IF(F88=$Q$1,$C$5,IF(F88=$R$1,$C$5,IF(F88=$S$1,$C$5,0)))))))))))</f>
        <v>M10x40-HDG-8.8</v>
      </c>
      <c r="N88" s="29">
        <f>C88*4</f>
        <v>4</v>
      </c>
      <c r="O88" s="29">
        <f>N88</f>
        <v>4</v>
      </c>
      <c r="P88" s="29">
        <v>0</v>
      </c>
      <c r="Q88" s="29">
        <f>N88*2</f>
        <v>8</v>
      </c>
      <c r="R88" s="29">
        <f>N88</f>
        <v>4</v>
      </c>
    </row>
    <row r="89" spans="1:19" x14ac:dyDescent="0.25">
      <c r="B89" s="78" t="s">
        <v>602</v>
      </c>
      <c r="C89" s="73">
        <v>1</v>
      </c>
      <c r="D89" s="29" t="s">
        <v>361</v>
      </c>
      <c r="E89" s="29" t="s">
        <v>603</v>
      </c>
      <c r="F89" s="29" t="s">
        <v>21</v>
      </c>
      <c r="G89" s="29">
        <v>12</v>
      </c>
      <c r="H89" s="29">
        <v>0</v>
      </c>
      <c r="I89" s="29">
        <v>12</v>
      </c>
      <c r="J89" s="29">
        <f t="shared" si="62"/>
        <v>23.3</v>
      </c>
      <c r="K89" s="29">
        <f t="shared" si="66"/>
        <v>47.3</v>
      </c>
      <c r="L89" s="29">
        <f t="shared" si="56"/>
        <v>50</v>
      </c>
      <c r="M89" s="78" t="str">
        <f t="shared" si="67"/>
        <v>M12x50-HDG-8.8</v>
      </c>
      <c r="N89" s="29">
        <f>C89*4</f>
        <v>4</v>
      </c>
      <c r="O89" s="29">
        <f>N89</f>
        <v>4</v>
      </c>
      <c r="P89" s="29">
        <v>0</v>
      </c>
      <c r="Q89" s="29">
        <f>N89*2</f>
        <v>8</v>
      </c>
      <c r="R89" s="29">
        <f>N89</f>
        <v>4</v>
      </c>
    </row>
    <row r="90" spans="1:19" s="79" customFormat="1" x14ac:dyDescent="0.25">
      <c r="A90" s="148"/>
      <c r="B90" s="78" t="s">
        <v>604</v>
      </c>
      <c r="C90" s="73">
        <v>63</v>
      </c>
      <c r="D90" s="29" t="s">
        <v>361</v>
      </c>
      <c r="E90" s="29" t="s">
        <v>605</v>
      </c>
      <c r="F90" s="29" t="s">
        <v>19</v>
      </c>
      <c r="G90" s="29">
        <v>15</v>
      </c>
      <c r="H90" s="29">
        <v>0</v>
      </c>
      <c r="I90" s="29">
        <v>0</v>
      </c>
      <c r="J90" s="29">
        <f t="shared" si="62"/>
        <v>17</v>
      </c>
      <c r="K90" s="29">
        <f t="shared" si="66"/>
        <v>32</v>
      </c>
      <c r="L90" s="29">
        <f>CEILING(K90, 5)</f>
        <v>35</v>
      </c>
      <c r="M90" s="78" t="str">
        <f t="shared" si="67"/>
        <v>M8x35-HDG-8.8</v>
      </c>
      <c r="N90" s="29">
        <f>C90*1</f>
        <v>63</v>
      </c>
      <c r="O90" s="29">
        <v>0</v>
      </c>
      <c r="P90" s="29">
        <v>0</v>
      </c>
      <c r="Q90" s="29">
        <f>N90*1</f>
        <v>63</v>
      </c>
      <c r="R90" s="29">
        <v>0</v>
      </c>
    </row>
    <row r="91" spans="1:19" s="79" customFormat="1" x14ac:dyDescent="0.25">
      <c r="A91" s="29"/>
      <c r="B91" s="191" t="s">
        <v>606</v>
      </c>
      <c r="C91" s="180">
        <v>1</v>
      </c>
      <c r="D91" s="29" t="s">
        <v>361</v>
      </c>
      <c r="E91" s="29" t="s">
        <v>607</v>
      </c>
      <c r="F91" s="29" t="s">
        <v>22</v>
      </c>
      <c r="G91" s="29">
        <v>12</v>
      </c>
      <c r="H91" s="29">
        <v>0</v>
      </c>
      <c r="I91" s="29">
        <v>12</v>
      </c>
      <c r="J91" s="29">
        <f t="shared" si="62"/>
        <v>29.3</v>
      </c>
      <c r="K91" s="29">
        <f t="shared" si="66"/>
        <v>53.3</v>
      </c>
      <c r="L91" s="29">
        <f>CEILING(K91, 5)</f>
        <v>55</v>
      </c>
      <c r="M91" s="78" t="str">
        <f t="shared" si="67"/>
        <v>M16x55-HDG-8.8</v>
      </c>
      <c r="N91" s="29">
        <f>C91*4</f>
        <v>4</v>
      </c>
      <c r="O91" s="29">
        <f>N91</f>
        <v>4</v>
      </c>
      <c r="P91" s="29">
        <v>0</v>
      </c>
      <c r="Q91" s="29">
        <f>N91*2</f>
        <v>8</v>
      </c>
      <c r="R91" s="29">
        <f>N91</f>
        <v>4</v>
      </c>
      <c r="S91" s="83" t="s">
        <v>224</v>
      </c>
    </row>
    <row r="92" spans="1:19" s="79" customFormat="1" x14ac:dyDescent="0.25">
      <c r="A92" s="29"/>
      <c r="B92" s="192"/>
      <c r="C92" s="192"/>
      <c r="D92" s="29" t="s">
        <v>87</v>
      </c>
      <c r="E92" s="29" t="s">
        <v>607</v>
      </c>
      <c r="F92" s="29" t="s">
        <v>20</v>
      </c>
      <c r="G92" s="29">
        <v>12</v>
      </c>
      <c r="H92" s="29">
        <v>0</v>
      </c>
      <c r="I92" s="29">
        <v>5</v>
      </c>
      <c r="J92" s="29">
        <f t="shared" si="62"/>
        <v>19.599999999999998</v>
      </c>
      <c r="K92" s="29">
        <f t="shared" si="66"/>
        <v>36.599999999999994</v>
      </c>
      <c r="L92" s="29">
        <f t="shared" ref="L92:L123" si="68">CEILING(K92, 10)</f>
        <v>40</v>
      </c>
      <c r="M92" s="78" t="str">
        <f t="shared" si="67"/>
        <v>M10x40-HDG-8.8</v>
      </c>
      <c r="N92" s="29">
        <f>C91*18</f>
        <v>18</v>
      </c>
      <c r="O92" s="29">
        <f>N92</f>
        <v>18</v>
      </c>
      <c r="P92" s="29">
        <v>0</v>
      </c>
      <c r="Q92" s="29">
        <f>N92*2</f>
        <v>36</v>
      </c>
      <c r="R92" s="29">
        <f>N92*0</f>
        <v>0</v>
      </c>
      <c r="S92" s="83" t="s">
        <v>608</v>
      </c>
    </row>
    <row r="93" spans="1:19" s="79" customFormat="1" x14ac:dyDescent="0.25">
      <c r="A93" s="29"/>
      <c r="B93" s="192"/>
      <c r="C93" s="192"/>
      <c r="D93" s="29" t="s">
        <v>87</v>
      </c>
      <c r="E93" s="29" t="s">
        <v>607</v>
      </c>
      <c r="F93" s="29" t="s">
        <v>21</v>
      </c>
      <c r="G93" s="29">
        <v>10</v>
      </c>
      <c r="H93" s="29">
        <v>5</v>
      </c>
      <c r="I93" s="29">
        <v>10</v>
      </c>
      <c r="J93" s="29">
        <f t="shared" si="62"/>
        <v>23.3</v>
      </c>
      <c r="K93" s="29">
        <f t="shared" si="66"/>
        <v>48.3</v>
      </c>
      <c r="L93" s="29">
        <f t="shared" si="68"/>
        <v>50</v>
      </c>
      <c r="M93" s="78" t="str">
        <f t="shared" si="67"/>
        <v>M12x50-HDG-8.8</v>
      </c>
      <c r="N93" s="29">
        <f>C91*5*8</f>
        <v>40</v>
      </c>
      <c r="O93" s="29">
        <f>C91*5*8</f>
        <v>40</v>
      </c>
      <c r="P93" s="29">
        <v>0</v>
      </c>
      <c r="Q93" s="29">
        <f>C91*5*16</f>
        <v>80</v>
      </c>
      <c r="R93" s="29">
        <f>C91*5*0</f>
        <v>0</v>
      </c>
      <c r="S93" s="83" t="s">
        <v>609</v>
      </c>
    </row>
    <row r="94" spans="1:19" s="79" customFormat="1" x14ac:dyDescent="0.25">
      <c r="A94" s="29"/>
      <c r="B94" s="192"/>
      <c r="C94" s="192"/>
      <c r="D94" s="29" t="s">
        <v>367</v>
      </c>
      <c r="E94" s="29" t="s">
        <v>607</v>
      </c>
      <c r="F94" s="29" t="s">
        <v>20</v>
      </c>
      <c r="G94" s="29">
        <v>10</v>
      </c>
      <c r="H94" s="29">
        <v>5</v>
      </c>
      <c r="I94" s="29">
        <v>0</v>
      </c>
      <c r="J94" s="29">
        <f t="shared" si="62"/>
        <v>19.599999999999998</v>
      </c>
      <c r="K94" s="29">
        <f t="shared" si="66"/>
        <v>34.599999999999994</v>
      </c>
      <c r="L94" s="29">
        <f t="shared" si="68"/>
        <v>40</v>
      </c>
      <c r="M94" s="78" t="str">
        <f>(CONCATENATE(F94,"-STUDx",L94,"-",IF(F94=$K$1,$C$4,IF(F94=$L$1,$C$4,IF(F94=$M$1,$C$4,IF(F94=$N$1,$C$4,IF(F94=$O$1,$C$4,IF(F94=$P$1,$C$5,IF(F94=$Q$1,$C$5,IF(F94=$R$1,$C$5,IF(F94=$S$1,$C$5,0)))))))))))</f>
        <v>M10-STUDx40-HDG-8.8</v>
      </c>
      <c r="N94" s="29">
        <f>6*0</f>
        <v>0</v>
      </c>
      <c r="O94" s="29">
        <f>6*1</f>
        <v>6</v>
      </c>
      <c r="P94" s="29">
        <v>0</v>
      </c>
      <c r="Q94" s="29">
        <f>6*1</f>
        <v>6</v>
      </c>
      <c r="R94" s="29">
        <f>6*0</f>
        <v>0</v>
      </c>
      <c r="S94" s="83" t="s">
        <v>325</v>
      </c>
    </row>
    <row r="95" spans="1:19" s="79" customFormat="1" x14ac:dyDescent="0.25">
      <c r="A95" s="29"/>
      <c r="B95" s="191" t="s">
        <v>610</v>
      </c>
      <c r="C95" s="180">
        <v>1</v>
      </c>
      <c r="D95" s="29" t="s">
        <v>361</v>
      </c>
      <c r="E95" s="29" t="s">
        <v>607</v>
      </c>
      <c r="F95" s="29" t="s">
        <v>22</v>
      </c>
      <c r="G95" s="29">
        <v>12</v>
      </c>
      <c r="H95" s="29">
        <v>0</v>
      </c>
      <c r="I95" s="29">
        <v>12</v>
      </c>
      <c r="J95" s="29">
        <f t="shared" si="62"/>
        <v>29.3</v>
      </c>
      <c r="K95" s="29">
        <f t="shared" si="66"/>
        <v>53.3</v>
      </c>
      <c r="L95" s="29">
        <f t="shared" si="68"/>
        <v>60</v>
      </c>
      <c r="M95" s="78" t="str">
        <f t="shared" ref="M95:M100" si="69">(CONCATENATE(F95,"x",L95,"-",IF(F95=$K$1,$C$4,IF(F95=$L$1,$C$4,IF(F95=$M$1,$C$4,IF(F95=$N$1,$C$4,IF(F95=$O$1,$C$4,IF(F95=$P$1,$C$5,IF(F95=$Q$1,$C$5,IF(F95=$R$1,$C$5,IF(F95=$S$1,$C$5,0)))))))))))</f>
        <v>M16x60-HDG-8.8</v>
      </c>
      <c r="N95" s="29">
        <f>1*4</f>
        <v>4</v>
      </c>
      <c r="O95" s="29">
        <f>N95</f>
        <v>4</v>
      </c>
      <c r="P95" s="29">
        <v>0</v>
      </c>
      <c r="Q95" s="29">
        <f>N95*2</f>
        <v>8</v>
      </c>
      <c r="R95" s="29">
        <f>N95</f>
        <v>4</v>
      </c>
      <c r="S95" s="83" t="s">
        <v>224</v>
      </c>
    </row>
    <row r="96" spans="1:19" s="79" customFormat="1" x14ac:dyDescent="0.25">
      <c r="A96" s="29"/>
      <c r="B96" s="192"/>
      <c r="C96" s="192"/>
      <c r="D96" s="29" t="s">
        <v>87</v>
      </c>
      <c r="E96" s="29" t="s">
        <v>607</v>
      </c>
      <c r="F96" s="29" t="s">
        <v>20</v>
      </c>
      <c r="G96" s="29">
        <v>12</v>
      </c>
      <c r="H96" s="29">
        <v>0</v>
      </c>
      <c r="I96" s="29">
        <v>5</v>
      </c>
      <c r="J96" s="29">
        <f t="shared" si="62"/>
        <v>19.599999999999998</v>
      </c>
      <c r="K96" s="29">
        <f t="shared" si="66"/>
        <v>36.599999999999994</v>
      </c>
      <c r="L96" s="29">
        <f t="shared" si="68"/>
        <v>40</v>
      </c>
      <c r="M96" s="78" t="str">
        <f t="shared" si="69"/>
        <v>M10x40-HDG-8.8</v>
      </c>
      <c r="N96" s="29">
        <f>1*18</f>
        <v>18</v>
      </c>
      <c r="O96" s="29">
        <f>N96</f>
        <v>18</v>
      </c>
      <c r="P96" s="29">
        <v>0</v>
      </c>
      <c r="Q96" s="29">
        <f>N96*2</f>
        <v>36</v>
      </c>
      <c r="R96" s="29">
        <f>N96*0</f>
        <v>0</v>
      </c>
      <c r="S96" s="83" t="s">
        <v>608</v>
      </c>
    </row>
    <row r="97" spans="1:29" s="79" customFormat="1" x14ac:dyDescent="0.25">
      <c r="A97" s="29"/>
      <c r="B97" s="192"/>
      <c r="C97" s="192"/>
      <c r="D97" s="29" t="s">
        <v>87</v>
      </c>
      <c r="E97" s="29" t="s">
        <v>607</v>
      </c>
      <c r="F97" s="29" t="s">
        <v>21</v>
      </c>
      <c r="G97" s="29">
        <v>10</v>
      </c>
      <c r="H97" s="29">
        <v>5</v>
      </c>
      <c r="I97" s="29">
        <v>10</v>
      </c>
      <c r="J97" s="29">
        <f t="shared" si="62"/>
        <v>23.3</v>
      </c>
      <c r="K97" s="29">
        <f t="shared" si="66"/>
        <v>48.3</v>
      </c>
      <c r="L97" s="29">
        <f t="shared" si="68"/>
        <v>50</v>
      </c>
      <c r="M97" s="78" t="str">
        <f t="shared" si="69"/>
        <v>M12x50-HDG-8.8</v>
      </c>
      <c r="N97" s="29">
        <f>C95*5*8</f>
        <v>40</v>
      </c>
      <c r="O97" s="29">
        <f>C95*5*8</f>
        <v>40</v>
      </c>
      <c r="P97" s="29">
        <v>0</v>
      </c>
      <c r="Q97" s="29">
        <f>C95*5*16</f>
        <v>80</v>
      </c>
      <c r="R97" s="29">
        <f>C95*5*0</f>
        <v>0</v>
      </c>
      <c r="S97" s="83" t="s">
        <v>609</v>
      </c>
    </row>
    <row r="98" spans="1:29" x14ac:dyDescent="0.25">
      <c r="B98" s="189" t="s">
        <v>611</v>
      </c>
      <c r="C98" s="73">
        <v>2</v>
      </c>
      <c r="D98" s="29" t="s">
        <v>361</v>
      </c>
      <c r="E98" s="29" t="s">
        <v>612</v>
      </c>
      <c r="F98" s="29" t="s">
        <v>22</v>
      </c>
      <c r="G98" s="29">
        <v>10</v>
      </c>
      <c r="H98" s="29">
        <v>0</v>
      </c>
      <c r="I98" s="29">
        <v>10</v>
      </c>
      <c r="J98" s="29">
        <f t="shared" si="62"/>
        <v>29.3</v>
      </c>
      <c r="K98" s="29">
        <f t="shared" si="66"/>
        <v>49.3</v>
      </c>
      <c r="L98" s="29">
        <f t="shared" si="68"/>
        <v>50</v>
      </c>
      <c r="M98" s="78" t="str">
        <f t="shared" si="69"/>
        <v>M16x50-HDG-8.8</v>
      </c>
      <c r="N98" s="29">
        <f>C98*4</f>
        <v>8</v>
      </c>
      <c r="O98" s="29">
        <f>C98*4</f>
        <v>8</v>
      </c>
      <c r="P98" s="29">
        <v>0</v>
      </c>
      <c r="Q98" s="29">
        <f>C98*8</f>
        <v>16</v>
      </c>
      <c r="R98" s="29">
        <f>C98*0</f>
        <v>0</v>
      </c>
      <c r="S98" s="83" t="s">
        <v>613</v>
      </c>
      <c r="AA98" t="s">
        <v>614</v>
      </c>
      <c r="AC98">
        <f>SUMIF(M15:M34,AA98,N15:N34)</f>
        <v>0</v>
      </c>
    </row>
    <row r="99" spans="1:29" ht="14.25" customHeight="1" x14ac:dyDescent="0.25">
      <c r="B99" s="181"/>
      <c r="C99" s="73">
        <v>2</v>
      </c>
      <c r="D99" s="29" t="s">
        <v>361</v>
      </c>
      <c r="E99" s="29" t="s">
        <v>612</v>
      </c>
      <c r="F99" s="29" t="s">
        <v>22</v>
      </c>
      <c r="G99" s="29">
        <v>10</v>
      </c>
      <c r="H99" s="29">
        <v>0</v>
      </c>
      <c r="I99" s="29">
        <v>5</v>
      </c>
      <c r="J99" s="29">
        <f t="shared" si="62"/>
        <v>29.3</v>
      </c>
      <c r="K99" s="29">
        <f t="shared" si="66"/>
        <v>44.3</v>
      </c>
      <c r="L99" s="29">
        <f t="shared" si="68"/>
        <v>50</v>
      </c>
      <c r="M99" s="78" t="str">
        <f t="shared" si="69"/>
        <v>M16x50-HDG-8.8</v>
      </c>
      <c r="N99" s="29">
        <f>C99*2</f>
        <v>4</v>
      </c>
      <c r="O99" s="29">
        <f>C99*2</f>
        <v>4</v>
      </c>
      <c r="P99" s="29">
        <v>0</v>
      </c>
      <c r="Q99" s="29">
        <f>C99*4</f>
        <v>8</v>
      </c>
      <c r="R99" s="29">
        <f>C99*0</f>
        <v>0</v>
      </c>
      <c r="S99" s="83" t="s">
        <v>615</v>
      </c>
      <c r="AA99" t="s">
        <v>616</v>
      </c>
    </row>
    <row r="100" spans="1:29" x14ac:dyDescent="0.25">
      <c r="A100" s="157"/>
      <c r="B100" s="189" t="s">
        <v>617</v>
      </c>
      <c r="C100" s="180">
        <v>1</v>
      </c>
      <c r="D100" s="29" t="s">
        <v>361</v>
      </c>
      <c r="E100" s="29" t="s">
        <v>618</v>
      </c>
      <c r="F100" s="29" t="s">
        <v>23</v>
      </c>
      <c r="G100" s="29">
        <v>20</v>
      </c>
      <c r="H100" s="29">
        <v>0</v>
      </c>
      <c r="I100" s="29">
        <v>10</v>
      </c>
      <c r="J100" s="29">
        <f t="shared" ref="J100:J123" si="70">IF(F100=$K$1,$K$2+2*$K$3+$K$5+$K$4*1,
IF(F100=$L$1,$L$2+2*$L$3+$L$5+$L$4*1,
IF(F100=$M$1,$M$2+2*$M$3+$M$5+$M$4*1,
IF(F100=$N$1,$N$2+2*$N$3+$N$5+$N$4*1,
IF(F100=$O$1,$O$2+2*$O$3+$O$5+$O$4*1,
IF(F100=$P$1,$P$2+2*$P$3+$P$5+$P$4*1,
IF(F100=$Q$1,$Q$2+2*$Q$3+$Q$5+$Q$4*1,
IF(F100=$R$1,$R$2+2*$R$3+$R$5+$R$4*1,
IF(F100=$S$1,$S$2+2*$S$3+$S$5+$S$4*1,"")))))))))</f>
        <v>33</v>
      </c>
      <c r="K100" s="29">
        <f t="shared" si="66"/>
        <v>63</v>
      </c>
      <c r="L100" s="29">
        <f t="shared" si="68"/>
        <v>70</v>
      </c>
      <c r="M100" s="78" t="str">
        <f t="shared" si="69"/>
        <v>M20x70-HDG-8.8</v>
      </c>
      <c r="N100" s="29">
        <f>C100*2</f>
        <v>2</v>
      </c>
      <c r="O100" s="29">
        <f>N100*1</f>
        <v>2</v>
      </c>
      <c r="P100" s="29">
        <v>0</v>
      </c>
      <c r="Q100" s="29">
        <f>N100*2</f>
        <v>4</v>
      </c>
      <c r="R100" s="29">
        <f>N100*0</f>
        <v>0</v>
      </c>
      <c r="S100" s="83" t="s">
        <v>619</v>
      </c>
      <c r="AA100" t="s">
        <v>620</v>
      </c>
    </row>
    <row r="101" spans="1:29" x14ac:dyDescent="0.25">
      <c r="A101" s="157"/>
      <c r="B101" s="181"/>
      <c r="C101" s="181"/>
      <c r="D101" s="29" t="s">
        <v>367</v>
      </c>
      <c r="E101" s="29" t="s">
        <v>618</v>
      </c>
      <c r="F101" s="29" t="s">
        <v>22</v>
      </c>
      <c r="G101" s="29">
        <v>0</v>
      </c>
      <c r="H101" s="29">
        <v>0</v>
      </c>
      <c r="I101" s="29">
        <v>0</v>
      </c>
      <c r="J101" s="29">
        <f t="shared" si="70"/>
        <v>29.3</v>
      </c>
      <c r="K101" s="29">
        <f t="shared" si="66"/>
        <v>29.3</v>
      </c>
      <c r="L101" s="29">
        <f t="shared" si="68"/>
        <v>30</v>
      </c>
      <c r="M101" s="78" t="str">
        <f>(CONCATENATE(F101,"-STUDx",L101,"-",IF(F101=$K$1,$C$4,IF(F101=$L$1,$C$4,IF(F101=$M$1,$C$4,IF(F101=$N$1,$C$4,IF(F101=$O$1,$C$4,IF(F101=$P$1,$C$5,IF(F101=$Q$1,$C$5,IF(F101=$R$1,$C$5,IF(F101=$S$1,$C$5,0)))))))))))</f>
        <v>M16-STUDx30-HDG-8.8</v>
      </c>
      <c r="N101" s="29">
        <f>C100*0</f>
        <v>0</v>
      </c>
      <c r="O101" s="29">
        <f>C100*1</f>
        <v>1</v>
      </c>
      <c r="P101" s="29">
        <v>0</v>
      </c>
      <c r="Q101" s="29">
        <f>C100*2</f>
        <v>2</v>
      </c>
      <c r="R101" s="29">
        <f>C100*0</f>
        <v>0</v>
      </c>
      <c r="S101" s="83" t="s">
        <v>621</v>
      </c>
      <c r="AA101" t="s">
        <v>622</v>
      </c>
    </row>
    <row r="102" spans="1:29" x14ac:dyDescent="0.25">
      <c r="A102" s="157"/>
      <c r="B102" s="79" t="s">
        <v>623</v>
      </c>
      <c r="C102" s="73">
        <v>10</v>
      </c>
      <c r="D102" s="29" t="s">
        <v>361</v>
      </c>
      <c r="E102" s="29" t="s">
        <v>624</v>
      </c>
      <c r="F102" s="29" t="s">
        <v>22</v>
      </c>
      <c r="G102" s="29">
        <v>10</v>
      </c>
      <c r="H102" s="29">
        <v>0</v>
      </c>
      <c r="I102" s="29">
        <v>16</v>
      </c>
      <c r="J102" s="29">
        <f t="shared" si="70"/>
        <v>29.3</v>
      </c>
      <c r="K102" s="29">
        <f t="shared" si="66"/>
        <v>55.3</v>
      </c>
      <c r="L102" s="29">
        <f t="shared" si="68"/>
        <v>60</v>
      </c>
      <c r="M102" s="78" t="str">
        <f t="shared" ref="M102:M109" si="71">(CONCATENATE(F102,"x",L102,"-",IF(F102=$K$1,$C$4,IF(F102=$L$1,$C$4,IF(F102=$M$1,$C$4,IF(F102=$N$1,$C$4,IF(F102=$O$1,$C$4,IF(F102=$P$1,$C$5,IF(F102=$Q$1,$C$5,IF(F102=$R$1,$C$5,IF(F102=$S$1,$C$5,0)))))))))))</f>
        <v>M16x60-HDG-8.8</v>
      </c>
      <c r="N102" s="29">
        <f>(C102-1)*1</f>
        <v>9</v>
      </c>
      <c r="O102" s="29">
        <f t="shared" ref="O102:O109" si="72">N102*1</f>
        <v>9</v>
      </c>
      <c r="P102" s="29">
        <v>0</v>
      </c>
      <c r="Q102" s="29">
        <f t="shared" ref="Q102:Q109" si="73">N102*2</f>
        <v>18</v>
      </c>
      <c r="R102" s="29">
        <f>N102*0</f>
        <v>0</v>
      </c>
      <c r="S102" s="83" t="s">
        <v>625</v>
      </c>
      <c r="AA102" t="s">
        <v>626</v>
      </c>
    </row>
    <row r="103" spans="1:29" x14ac:dyDescent="0.25">
      <c r="B103" s="79" t="s">
        <v>627</v>
      </c>
      <c r="C103" s="73">
        <v>1</v>
      </c>
      <c r="D103" s="29" t="s">
        <v>361</v>
      </c>
      <c r="E103" s="29" t="s">
        <v>628</v>
      </c>
      <c r="F103" s="29" t="s">
        <v>22</v>
      </c>
      <c r="G103" s="29">
        <v>10</v>
      </c>
      <c r="H103" s="29">
        <v>0</v>
      </c>
      <c r="I103" s="29">
        <v>10</v>
      </c>
      <c r="J103" s="29">
        <f t="shared" si="70"/>
        <v>29.3</v>
      </c>
      <c r="K103" s="29">
        <f t="shared" si="66"/>
        <v>49.3</v>
      </c>
      <c r="L103" s="29">
        <f t="shared" si="68"/>
        <v>50</v>
      </c>
      <c r="M103" s="78" t="str">
        <f t="shared" si="71"/>
        <v>M16x50-HDG-8.8</v>
      </c>
      <c r="N103" s="29">
        <f>C103*4</f>
        <v>4</v>
      </c>
      <c r="O103" s="29">
        <f t="shared" si="72"/>
        <v>4</v>
      </c>
      <c r="P103" s="29">
        <v>0</v>
      </c>
      <c r="Q103" s="29">
        <f t="shared" si="73"/>
        <v>8</v>
      </c>
      <c r="R103" s="29">
        <f>N103*1</f>
        <v>4</v>
      </c>
      <c r="S103" s="83" t="s">
        <v>629</v>
      </c>
      <c r="AA103" t="s">
        <v>630</v>
      </c>
    </row>
    <row r="104" spans="1:29" x14ac:dyDescent="0.25">
      <c r="B104" s="79" t="s">
        <v>631</v>
      </c>
      <c r="C104" s="73">
        <v>1</v>
      </c>
      <c r="D104" s="29" t="s">
        <v>361</v>
      </c>
      <c r="E104" s="29" t="s">
        <v>628</v>
      </c>
      <c r="F104" s="29" t="s">
        <v>21</v>
      </c>
      <c r="G104" s="29">
        <v>10</v>
      </c>
      <c r="H104" s="29">
        <v>0</v>
      </c>
      <c r="I104" s="29">
        <v>10</v>
      </c>
      <c r="J104" s="29">
        <f t="shared" si="70"/>
        <v>23.3</v>
      </c>
      <c r="K104" s="29">
        <f t="shared" si="66"/>
        <v>43.3</v>
      </c>
      <c r="L104" s="29">
        <f t="shared" si="68"/>
        <v>50</v>
      </c>
      <c r="M104" s="78" t="str">
        <f t="shared" si="71"/>
        <v>M12x50-HDG-8.8</v>
      </c>
      <c r="N104" s="29">
        <f>C104*6</f>
        <v>6</v>
      </c>
      <c r="O104" s="29">
        <f t="shared" si="72"/>
        <v>6</v>
      </c>
      <c r="P104" s="29">
        <v>0</v>
      </c>
      <c r="Q104" s="29">
        <f t="shared" si="73"/>
        <v>12</v>
      </c>
      <c r="R104" s="29">
        <f>N104*1</f>
        <v>6</v>
      </c>
      <c r="S104" s="83"/>
      <c r="AA104" t="s">
        <v>632</v>
      </c>
    </row>
    <row r="105" spans="1:29" x14ac:dyDescent="0.25">
      <c r="B105" s="79" t="s">
        <v>633</v>
      </c>
      <c r="C105" s="73">
        <v>1</v>
      </c>
      <c r="D105" s="29" t="s">
        <v>361</v>
      </c>
      <c r="E105" s="29"/>
      <c r="F105" s="29" t="s">
        <v>22</v>
      </c>
      <c r="G105" s="29">
        <v>10</v>
      </c>
      <c r="H105" s="29">
        <v>0</v>
      </c>
      <c r="I105" s="29">
        <v>10</v>
      </c>
      <c r="J105" s="29">
        <f t="shared" si="70"/>
        <v>29.3</v>
      </c>
      <c r="K105" s="29">
        <f t="shared" si="66"/>
        <v>49.3</v>
      </c>
      <c r="L105" s="29">
        <f t="shared" si="68"/>
        <v>50</v>
      </c>
      <c r="M105" s="78" t="str">
        <f t="shared" si="71"/>
        <v>M16x50-HDG-8.8</v>
      </c>
      <c r="N105" s="29">
        <f>C105*4</f>
        <v>4</v>
      </c>
      <c r="O105" s="29">
        <f t="shared" si="72"/>
        <v>4</v>
      </c>
      <c r="P105" s="29">
        <v>0</v>
      </c>
      <c r="Q105" s="29">
        <f t="shared" si="73"/>
        <v>8</v>
      </c>
      <c r="R105" s="29">
        <f>N105*1</f>
        <v>4</v>
      </c>
      <c r="S105" s="83" t="s">
        <v>634</v>
      </c>
      <c r="AA105" t="s">
        <v>635</v>
      </c>
    </row>
    <row r="106" spans="1:29" x14ac:dyDescent="0.25">
      <c r="B106" s="79" t="s">
        <v>636</v>
      </c>
      <c r="C106" s="73">
        <v>1</v>
      </c>
      <c r="D106" s="29" t="s">
        <v>361</v>
      </c>
      <c r="E106" s="29"/>
      <c r="F106" s="29" t="s">
        <v>22</v>
      </c>
      <c r="G106" s="29">
        <v>10</v>
      </c>
      <c r="H106" s="29">
        <v>0</v>
      </c>
      <c r="I106" s="29">
        <v>16</v>
      </c>
      <c r="J106" s="29">
        <f t="shared" si="70"/>
        <v>29.3</v>
      </c>
      <c r="K106" s="29">
        <f t="shared" si="66"/>
        <v>55.3</v>
      </c>
      <c r="L106" s="29">
        <f t="shared" si="68"/>
        <v>60</v>
      </c>
      <c r="M106" s="78" t="str">
        <f t="shared" si="71"/>
        <v>M16x60-HDG-8.8</v>
      </c>
      <c r="N106" s="29">
        <f>C106*2</f>
        <v>2</v>
      </c>
      <c r="O106" s="29">
        <f t="shared" si="72"/>
        <v>2</v>
      </c>
      <c r="P106" s="29">
        <v>0</v>
      </c>
      <c r="Q106" s="29">
        <f t="shared" si="73"/>
        <v>4</v>
      </c>
      <c r="R106" s="29">
        <f>N106*1</f>
        <v>2</v>
      </c>
      <c r="S106" s="83" t="s">
        <v>637</v>
      </c>
      <c r="AA106" t="s">
        <v>638</v>
      </c>
    </row>
    <row r="107" spans="1:29" x14ac:dyDescent="0.25">
      <c r="B107" s="79" t="s">
        <v>639</v>
      </c>
      <c r="C107" s="73">
        <v>1</v>
      </c>
      <c r="D107" s="29" t="s">
        <v>361</v>
      </c>
      <c r="E107" s="29"/>
      <c r="F107" s="29" t="s">
        <v>22</v>
      </c>
      <c r="G107" s="29">
        <v>10</v>
      </c>
      <c r="H107" s="29">
        <v>0</v>
      </c>
      <c r="I107" s="29">
        <v>16</v>
      </c>
      <c r="J107" s="29">
        <f t="shared" si="70"/>
        <v>29.3</v>
      </c>
      <c r="K107" s="29">
        <f t="shared" si="66"/>
        <v>55.3</v>
      </c>
      <c r="L107" s="29">
        <f t="shared" si="68"/>
        <v>60</v>
      </c>
      <c r="M107" s="78" t="str">
        <f t="shared" si="71"/>
        <v>M16x60-HDG-8.8</v>
      </c>
      <c r="N107" s="29">
        <f>C107*2</f>
        <v>2</v>
      </c>
      <c r="O107" s="29">
        <f t="shared" si="72"/>
        <v>2</v>
      </c>
      <c r="P107" s="29">
        <v>0</v>
      </c>
      <c r="Q107" s="29">
        <f t="shared" si="73"/>
        <v>4</v>
      </c>
      <c r="R107" s="29">
        <f>N107*1</f>
        <v>2</v>
      </c>
      <c r="S107" s="83" t="s">
        <v>640</v>
      </c>
      <c r="AA107" t="s">
        <v>641</v>
      </c>
    </row>
    <row r="108" spans="1:29" x14ac:dyDescent="0.25">
      <c r="B108" s="79" t="s">
        <v>642</v>
      </c>
      <c r="C108" s="73">
        <v>10</v>
      </c>
      <c r="D108" s="29" t="s">
        <v>361</v>
      </c>
      <c r="E108" s="29"/>
      <c r="F108" s="29" t="s">
        <v>21</v>
      </c>
      <c r="G108" s="73">
        <v>10</v>
      </c>
      <c r="H108" s="29">
        <v>0</v>
      </c>
      <c r="I108" s="73">
        <v>10</v>
      </c>
      <c r="J108" s="29">
        <f t="shared" si="70"/>
        <v>23.3</v>
      </c>
      <c r="K108" s="29">
        <f t="shared" si="66"/>
        <v>43.3</v>
      </c>
      <c r="L108" s="29">
        <f t="shared" si="68"/>
        <v>50</v>
      </c>
      <c r="M108" s="78" t="str">
        <f t="shared" si="71"/>
        <v>M12x50-HDG-8.8</v>
      </c>
      <c r="N108" s="29">
        <f>C108*2</f>
        <v>20</v>
      </c>
      <c r="O108" s="29">
        <f t="shared" si="72"/>
        <v>20</v>
      </c>
      <c r="P108" s="29">
        <v>0</v>
      </c>
      <c r="Q108" s="29">
        <f t="shared" si="73"/>
        <v>40</v>
      </c>
      <c r="R108" s="29">
        <f>N108*0</f>
        <v>0</v>
      </c>
      <c r="S108" s="79"/>
      <c r="AA108" t="s">
        <v>643</v>
      </c>
    </row>
    <row r="109" spans="1:29" x14ac:dyDescent="0.25">
      <c r="B109" s="79" t="s">
        <v>644</v>
      </c>
      <c r="C109" s="73">
        <v>10</v>
      </c>
      <c r="D109" s="29" t="s">
        <v>361</v>
      </c>
      <c r="E109" s="29"/>
      <c r="F109" s="29" t="s">
        <v>21</v>
      </c>
      <c r="G109" s="73">
        <v>10</v>
      </c>
      <c r="H109" s="29">
        <v>0</v>
      </c>
      <c r="I109" s="73">
        <v>10</v>
      </c>
      <c r="J109" s="29">
        <f t="shared" si="70"/>
        <v>23.3</v>
      </c>
      <c r="K109" s="29">
        <f t="shared" si="66"/>
        <v>43.3</v>
      </c>
      <c r="L109" s="29">
        <f t="shared" si="68"/>
        <v>50</v>
      </c>
      <c r="M109" s="78" t="str">
        <f t="shared" si="71"/>
        <v>M12x50-HDG-8.8</v>
      </c>
      <c r="N109" s="29">
        <f>C109*2</f>
        <v>20</v>
      </c>
      <c r="O109" s="29">
        <f t="shared" si="72"/>
        <v>20</v>
      </c>
      <c r="P109" s="29">
        <v>0</v>
      </c>
      <c r="Q109" s="29">
        <f t="shared" si="73"/>
        <v>40</v>
      </c>
      <c r="R109" s="29">
        <f>N109*0</f>
        <v>0</v>
      </c>
      <c r="S109" s="79"/>
      <c r="AA109" t="s">
        <v>645</v>
      </c>
    </row>
    <row r="110" spans="1:29" x14ac:dyDescent="0.25">
      <c r="B110" s="79" t="s">
        <v>646</v>
      </c>
      <c r="C110" s="73">
        <v>1</v>
      </c>
      <c r="D110" s="29" t="s">
        <v>367</v>
      </c>
      <c r="E110" s="29"/>
      <c r="F110" s="29" t="s">
        <v>20</v>
      </c>
      <c r="G110" s="29">
        <v>12</v>
      </c>
      <c r="H110" s="29">
        <v>0</v>
      </c>
      <c r="I110" s="29">
        <v>10</v>
      </c>
      <c r="J110" s="29">
        <f t="shared" si="70"/>
        <v>19.599999999999998</v>
      </c>
      <c r="K110" s="29">
        <f t="shared" si="66"/>
        <v>41.599999999999994</v>
      </c>
      <c r="L110" s="29">
        <f t="shared" si="68"/>
        <v>50</v>
      </c>
      <c r="M110" s="78" t="str">
        <f>(CONCATENATE(F110,"-STUDx",L110,"-",IF(F110=$K$1,$C$4,IF(F110=$L$1,$C$4,IF(F110=$M$1,$C$4,IF(F110=$N$1,$C$4,IF(F110=$O$1,$C$4,IF(F110=$P$1,$C$5,IF(F110=$Q$1,$C$5,IF(F110=$R$1,$C$5,IF(F110=$S$1,$C$5,0)))))))))))</f>
        <v>M10-STUDx50-HDG-8.8</v>
      </c>
      <c r="N110" s="29">
        <f>C110*8*0</f>
        <v>0</v>
      </c>
      <c r="O110" s="29">
        <f>C110*8</f>
        <v>8</v>
      </c>
      <c r="P110" s="29">
        <v>0</v>
      </c>
      <c r="Q110" s="29">
        <f>C110*8</f>
        <v>8</v>
      </c>
      <c r="R110" s="29">
        <f>C110*0</f>
        <v>0</v>
      </c>
      <c r="AA110" t="s">
        <v>647</v>
      </c>
    </row>
    <row r="111" spans="1:29" x14ac:dyDescent="0.25">
      <c r="B111" s="79" t="s">
        <v>648</v>
      </c>
      <c r="C111" s="73" t="s">
        <v>569</v>
      </c>
      <c r="D111" s="29" t="s">
        <v>367</v>
      </c>
      <c r="E111" s="29" t="s">
        <v>649</v>
      </c>
      <c r="F111" s="29" t="s">
        <v>21</v>
      </c>
      <c r="G111" s="29">
        <v>16</v>
      </c>
      <c r="H111" s="29">
        <v>0</v>
      </c>
      <c r="I111" s="29">
        <v>16</v>
      </c>
      <c r="J111" s="29">
        <f t="shared" si="70"/>
        <v>23.3</v>
      </c>
      <c r="K111" s="29">
        <f t="shared" si="66"/>
        <v>55.3</v>
      </c>
      <c r="L111" s="29">
        <f t="shared" si="68"/>
        <v>60</v>
      </c>
      <c r="M111" s="78" t="str">
        <f>(CONCATENATE(F111,"-STUDx",L111,"-",IF(F111=$K$1,$C$4,IF(F111=$L$1,$C$4,IF(F111=$M$1,$C$4,IF(F111=$N$1,$C$4,IF(F111=$O$1,$C$4,IF(F111=$P$1,$C$5,IF(F111=$Q$1,$C$5,IF(F111=$R$1,$C$5,IF(F111=$S$1,$C$5,0)))))))))))</f>
        <v>M12-STUDx60-HDG-8.8</v>
      </c>
      <c r="N111" s="29">
        <f>0</f>
        <v>0</v>
      </c>
      <c r="O111" s="29">
        <f>IF(C111="ASM-1",16,IF(C111="ASM-2",16,IF(C111="ASM-3",20,IF(C111="ASM-4",16,IF(C111="ASM-5",20,IF(C111="ASM-6",22,IF(C111="ASM-7",20,IF(C111="ASM-8",24,IF(C111="ASM-9",26,IF(C111="ASM-10",30,IF(C111="ASM-11",32,IF(C111="ASM-12",38,IF(C111="ASM-13",28,IF(C111="ASM-14",32))))))))))))))</f>
        <v>38</v>
      </c>
      <c r="P111" s="29">
        <v>0</v>
      </c>
      <c r="Q111" s="29">
        <f>O111*1</f>
        <v>38</v>
      </c>
      <c r="R111" s="29">
        <f>O111*0</f>
        <v>0</v>
      </c>
    </row>
    <row r="112" spans="1:29" x14ac:dyDescent="0.25">
      <c r="B112" s="79" t="s">
        <v>650</v>
      </c>
      <c r="C112" s="73">
        <v>1</v>
      </c>
      <c r="D112" s="29" t="s">
        <v>361</v>
      </c>
      <c r="E112" s="29"/>
      <c r="F112" s="73" t="s">
        <v>21</v>
      </c>
      <c r="G112" s="29">
        <v>10</v>
      </c>
      <c r="H112" s="29">
        <v>0</v>
      </c>
      <c r="I112" s="29">
        <v>10</v>
      </c>
      <c r="J112" s="29">
        <f t="shared" si="70"/>
        <v>23.3</v>
      </c>
      <c r="K112" s="29">
        <f t="shared" si="66"/>
        <v>43.3</v>
      </c>
      <c r="L112" s="29">
        <f t="shared" si="68"/>
        <v>50</v>
      </c>
      <c r="M112" s="78" t="str">
        <f t="shared" ref="M112:M123" si="74">(CONCATENATE(F112,"x",L112,"-",IF(F112=$K$1,$C$4,IF(F112=$L$1,$C$4,IF(F112=$M$1,$C$4,IF(F112=$N$1,$C$4,IF(F112=$O$1,$C$4,IF(F112=$P$1,$C$5,IF(F112=$Q$1,$C$5,IF(F112=$R$1,$C$5,IF(F112=$S$1,$C$5,0)))))))))))</f>
        <v>M12x50-HDG-8.8</v>
      </c>
      <c r="N112" s="29">
        <f>C112*1</f>
        <v>1</v>
      </c>
      <c r="O112" s="29">
        <f>C112*1</f>
        <v>1</v>
      </c>
      <c r="P112" s="29">
        <v>0</v>
      </c>
      <c r="Q112" s="29">
        <f>C112*2</f>
        <v>2</v>
      </c>
      <c r="R112" s="29">
        <f>N112*0</f>
        <v>0</v>
      </c>
    </row>
    <row r="113" spans="1:21" x14ac:dyDescent="0.25">
      <c r="B113" s="79" t="s">
        <v>651</v>
      </c>
      <c r="C113" s="73">
        <v>1</v>
      </c>
      <c r="D113" s="29" t="s">
        <v>361</v>
      </c>
      <c r="E113" s="29"/>
      <c r="F113" s="73" t="s">
        <v>21</v>
      </c>
      <c r="G113" s="29">
        <v>10</v>
      </c>
      <c r="H113" s="29">
        <v>0</v>
      </c>
      <c r="I113" s="29">
        <v>10</v>
      </c>
      <c r="J113" s="29">
        <f t="shared" si="70"/>
        <v>23.3</v>
      </c>
      <c r="K113" s="29">
        <f t="shared" si="66"/>
        <v>43.3</v>
      </c>
      <c r="L113" s="29">
        <f t="shared" si="68"/>
        <v>50</v>
      </c>
      <c r="M113" s="78" t="str">
        <f t="shared" si="74"/>
        <v>M12x50-HDG-8.8</v>
      </c>
      <c r="N113" s="29">
        <f>C113*1</f>
        <v>1</v>
      </c>
      <c r="O113" s="29">
        <f>C113*1</f>
        <v>1</v>
      </c>
      <c r="P113" s="29">
        <v>0</v>
      </c>
      <c r="Q113" s="29">
        <f>C113*2</f>
        <v>2</v>
      </c>
      <c r="R113" s="29">
        <f>N113*0</f>
        <v>0</v>
      </c>
    </row>
    <row r="114" spans="1:21" x14ac:dyDescent="0.25">
      <c r="B114" s="189" t="s">
        <v>652</v>
      </c>
      <c r="C114" s="73">
        <v>1</v>
      </c>
      <c r="D114" s="29" t="s">
        <v>87</v>
      </c>
      <c r="E114" s="29"/>
      <c r="F114" s="73" t="s">
        <v>24</v>
      </c>
      <c r="G114" s="73">
        <v>26</v>
      </c>
      <c r="H114" s="73">
        <v>10</v>
      </c>
      <c r="I114" s="73">
        <v>25</v>
      </c>
      <c r="J114" s="29">
        <f t="shared" si="70"/>
        <v>39.5</v>
      </c>
      <c r="K114" s="29">
        <f t="shared" si="66"/>
        <v>100.5</v>
      </c>
      <c r="L114" s="29">
        <f t="shared" si="68"/>
        <v>110</v>
      </c>
      <c r="M114" s="78" t="str">
        <f t="shared" si="74"/>
        <v>M24x110-HDG-8.8</v>
      </c>
      <c r="N114" s="85">
        <f>C114*1</f>
        <v>1</v>
      </c>
      <c r="O114" s="85">
        <f>N114*1</f>
        <v>1</v>
      </c>
      <c r="P114" s="29">
        <v>0</v>
      </c>
      <c r="Q114" s="29">
        <f>N114*2</f>
        <v>2</v>
      </c>
      <c r="R114" s="29">
        <f>N114*0</f>
        <v>0</v>
      </c>
      <c r="S114" s="1"/>
    </row>
    <row r="115" spans="1:21" x14ac:dyDescent="0.25">
      <c r="B115" s="181"/>
      <c r="C115" s="73">
        <v>1</v>
      </c>
      <c r="D115" s="29" t="s">
        <v>367</v>
      </c>
      <c r="E115" s="29"/>
      <c r="F115" s="73" t="s">
        <v>24</v>
      </c>
      <c r="G115" s="73">
        <v>26</v>
      </c>
      <c r="H115" s="73">
        <v>10</v>
      </c>
      <c r="I115" s="73">
        <v>25</v>
      </c>
      <c r="J115" s="29">
        <f t="shared" si="70"/>
        <v>39.5</v>
      </c>
      <c r="K115" s="29">
        <f t="shared" si="66"/>
        <v>100.5</v>
      </c>
      <c r="L115" s="29">
        <f t="shared" si="68"/>
        <v>110</v>
      </c>
      <c r="M115" s="78" t="str">
        <f t="shared" si="74"/>
        <v>M24x110-HDG-8.8</v>
      </c>
      <c r="N115" s="29">
        <f>C115</f>
        <v>1</v>
      </c>
      <c r="O115" s="29">
        <f>C115</f>
        <v>1</v>
      </c>
      <c r="P115" s="29">
        <v>0</v>
      </c>
      <c r="Q115" s="29">
        <f>C115*2</f>
        <v>2</v>
      </c>
      <c r="R115" s="29">
        <f>IF(D115="SD-269",C115*8,0)</f>
        <v>0</v>
      </c>
    </row>
    <row r="116" spans="1:21" x14ac:dyDescent="0.25">
      <c r="B116" s="79" t="s">
        <v>653</v>
      </c>
      <c r="C116" s="73">
        <v>2</v>
      </c>
      <c r="D116" s="29" t="s">
        <v>361</v>
      </c>
      <c r="E116" s="29"/>
      <c r="F116" s="29" t="s">
        <v>22</v>
      </c>
      <c r="G116" s="29">
        <v>20</v>
      </c>
      <c r="H116" s="29">
        <v>0</v>
      </c>
      <c r="I116" s="29">
        <v>20</v>
      </c>
      <c r="J116" s="29">
        <f t="shared" si="70"/>
        <v>29.3</v>
      </c>
      <c r="K116" s="29">
        <f t="shared" si="66"/>
        <v>69.3</v>
      </c>
      <c r="L116" s="29">
        <f t="shared" si="68"/>
        <v>70</v>
      </c>
      <c r="M116" s="78" t="str">
        <f t="shared" si="74"/>
        <v>M16x70-HDG-8.8</v>
      </c>
      <c r="N116" s="29">
        <f>C116*4</f>
        <v>8</v>
      </c>
      <c r="O116" s="29">
        <f>N116*1</f>
        <v>8</v>
      </c>
      <c r="P116" s="29">
        <v>0</v>
      </c>
      <c r="Q116" s="29">
        <f>N116*2</f>
        <v>16</v>
      </c>
      <c r="R116" s="29">
        <f>N116*1</f>
        <v>8</v>
      </c>
    </row>
    <row r="117" spans="1:21" x14ac:dyDescent="0.25">
      <c r="B117" s="79" t="s">
        <v>654</v>
      </c>
      <c r="C117" s="73">
        <v>1</v>
      </c>
      <c r="D117" s="29" t="s">
        <v>361</v>
      </c>
      <c r="E117" s="29"/>
      <c r="F117" s="73" t="s">
        <v>22</v>
      </c>
      <c r="G117" s="73">
        <v>10</v>
      </c>
      <c r="H117" s="73">
        <v>0</v>
      </c>
      <c r="I117" s="73">
        <v>10</v>
      </c>
      <c r="J117" s="29">
        <f t="shared" si="70"/>
        <v>29.3</v>
      </c>
      <c r="K117" s="29">
        <f t="shared" si="66"/>
        <v>49.3</v>
      </c>
      <c r="L117" s="29">
        <f t="shared" si="68"/>
        <v>50</v>
      </c>
      <c r="M117" s="78" t="str">
        <f t="shared" si="74"/>
        <v>M16x50-HDG-8.8</v>
      </c>
      <c r="N117" s="29">
        <f t="shared" ref="N117:N123" si="75">C117*1</f>
        <v>1</v>
      </c>
      <c r="O117" s="29">
        <f t="shared" ref="O117:O123" si="76">C117*1</f>
        <v>1</v>
      </c>
      <c r="P117" s="29">
        <v>0</v>
      </c>
      <c r="Q117" s="29">
        <f t="shared" ref="Q117:Q123" si="77">C117*2</f>
        <v>2</v>
      </c>
      <c r="R117" s="29">
        <f t="shared" ref="R117:R123" si="78">N117*0</f>
        <v>0</v>
      </c>
    </row>
    <row r="118" spans="1:21" x14ac:dyDescent="0.25">
      <c r="B118" s="79" t="s">
        <v>655</v>
      </c>
      <c r="C118" s="73">
        <v>1</v>
      </c>
      <c r="D118" s="29" t="s">
        <v>361</v>
      </c>
      <c r="E118" s="29"/>
      <c r="F118" s="73" t="s">
        <v>22</v>
      </c>
      <c r="G118" s="73">
        <v>10</v>
      </c>
      <c r="H118" s="73">
        <v>0</v>
      </c>
      <c r="I118" s="73">
        <v>10</v>
      </c>
      <c r="J118" s="29">
        <f t="shared" si="70"/>
        <v>29.3</v>
      </c>
      <c r="K118" s="29">
        <f t="shared" si="66"/>
        <v>49.3</v>
      </c>
      <c r="L118" s="29">
        <f t="shared" si="68"/>
        <v>50</v>
      </c>
      <c r="M118" s="78" t="str">
        <f t="shared" si="74"/>
        <v>M16x50-HDG-8.8</v>
      </c>
      <c r="N118" s="29">
        <f t="shared" si="75"/>
        <v>1</v>
      </c>
      <c r="O118" s="29">
        <f t="shared" si="76"/>
        <v>1</v>
      </c>
      <c r="P118" s="29">
        <v>0</v>
      </c>
      <c r="Q118" s="29">
        <f t="shared" si="77"/>
        <v>2</v>
      </c>
      <c r="R118" s="29">
        <f t="shared" si="78"/>
        <v>0</v>
      </c>
    </row>
    <row r="119" spans="1:21" x14ac:dyDescent="0.25">
      <c r="B119" s="79" t="s">
        <v>656</v>
      </c>
      <c r="C119" s="73">
        <v>1</v>
      </c>
      <c r="D119" s="29" t="s">
        <v>361</v>
      </c>
      <c r="E119" s="29"/>
      <c r="F119" s="73" t="s">
        <v>17</v>
      </c>
      <c r="G119" s="73">
        <v>10</v>
      </c>
      <c r="H119" s="73">
        <v>0</v>
      </c>
      <c r="I119" s="73">
        <v>10</v>
      </c>
      <c r="J119" s="29">
        <f t="shared" si="70"/>
        <v>12.899999999999999</v>
      </c>
      <c r="K119" s="29">
        <f t="shared" ref="K119:K123" si="79">SUM(G119:J119)</f>
        <v>32.9</v>
      </c>
      <c r="L119" s="29">
        <f t="shared" si="68"/>
        <v>40</v>
      </c>
      <c r="M119" s="78" t="str">
        <f t="shared" si="74"/>
        <v>M5x40-HDG-8.8</v>
      </c>
      <c r="N119" s="29">
        <f t="shared" si="75"/>
        <v>1</v>
      </c>
      <c r="O119" s="29">
        <f t="shared" si="76"/>
        <v>1</v>
      </c>
      <c r="P119" s="29">
        <v>0</v>
      </c>
      <c r="Q119" s="29">
        <f t="shared" si="77"/>
        <v>2</v>
      </c>
      <c r="R119" s="29">
        <f t="shared" si="78"/>
        <v>0</v>
      </c>
    </row>
    <row r="120" spans="1:21" x14ac:dyDescent="0.25">
      <c r="B120" s="79" t="s">
        <v>657</v>
      </c>
      <c r="C120" s="73">
        <v>1</v>
      </c>
      <c r="D120" s="29" t="s">
        <v>361</v>
      </c>
      <c r="E120" s="29"/>
      <c r="F120" s="73" t="s">
        <v>22</v>
      </c>
      <c r="G120" s="73">
        <v>10</v>
      </c>
      <c r="H120" s="73">
        <v>0</v>
      </c>
      <c r="I120" s="73">
        <v>10</v>
      </c>
      <c r="J120" s="29">
        <f t="shared" si="70"/>
        <v>29.3</v>
      </c>
      <c r="K120" s="29">
        <f t="shared" si="79"/>
        <v>49.3</v>
      </c>
      <c r="L120" s="29">
        <f t="shared" si="68"/>
        <v>50</v>
      </c>
      <c r="M120" s="78" t="str">
        <f t="shared" si="74"/>
        <v>M16x50-HDG-8.8</v>
      </c>
      <c r="N120" s="29">
        <f t="shared" si="75"/>
        <v>1</v>
      </c>
      <c r="O120" s="29">
        <f t="shared" si="76"/>
        <v>1</v>
      </c>
      <c r="P120" s="29">
        <v>0</v>
      </c>
      <c r="Q120" s="29">
        <f t="shared" si="77"/>
        <v>2</v>
      </c>
      <c r="R120" s="29">
        <f t="shared" si="78"/>
        <v>0</v>
      </c>
    </row>
    <row r="121" spans="1:21" x14ac:dyDescent="0.25">
      <c r="B121" s="79" t="s">
        <v>658</v>
      </c>
      <c r="C121" s="73">
        <v>1</v>
      </c>
      <c r="D121" s="29" t="s">
        <v>361</v>
      </c>
      <c r="E121" s="29"/>
      <c r="F121" s="73" t="s">
        <v>22</v>
      </c>
      <c r="G121" s="73">
        <v>10</v>
      </c>
      <c r="H121" s="73">
        <v>0</v>
      </c>
      <c r="I121" s="73">
        <v>10</v>
      </c>
      <c r="J121" s="29">
        <f t="shared" si="70"/>
        <v>29.3</v>
      </c>
      <c r="K121" s="29">
        <f t="shared" si="79"/>
        <v>49.3</v>
      </c>
      <c r="L121" s="29">
        <f t="shared" si="68"/>
        <v>50</v>
      </c>
      <c r="M121" s="78" t="str">
        <f t="shared" si="74"/>
        <v>M16x50-HDG-8.8</v>
      </c>
      <c r="N121" s="29">
        <f t="shared" si="75"/>
        <v>1</v>
      </c>
      <c r="O121" s="29">
        <f t="shared" si="76"/>
        <v>1</v>
      </c>
      <c r="P121" s="29">
        <v>0</v>
      </c>
      <c r="Q121" s="29">
        <f t="shared" si="77"/>
        <v>2</v>
      </c>
      <c r="R121" s="29">
        <f t="shared" si="78"/>
        <v>0</v>
      </c>
    </row>
    <row r="122" spans="1:21" x14ac:dyDescent="0.25">
      <c r="B122" s="79" t="s">
        <v>659</v>
      </c>
      <c r="C122" s="73">
        <v>1</v>
      </c>
      <c r="D122" s="29" t="s">
        <v>361</v>
      </c>
      <c r="E122" s="29"/>
      <c r="F122" s="73" t="s">
        <v>22</v>
      </c>
      <c r="G122" s="73">
        <v>10</v>
      </c>
      <c r="H122" s="73">
        <v>0</v>
      </c>
      <c r="I122" s="73">
        <v>10</v>
      </c>
      <c r="J122" s="29">
        <f t="shared" si="70"/>
        <v>29.3</v>
      </c>
      <c r="K122" s="29">
        <f t="shared" si="79"/>
        <v>49.3</v>
      </c>
      <c r="L122" s="29">
        <f t="shared" si="68"/>
        <v>50</v>
      </c>
      <c r="M122" s="78" t="str">
        <f t="shared" si="74"/>
        <v>M16x50-HDG-8.8</v>
      </c>
      <c r="N122" s="29">
        <f t="shared" si="75"/>
        <v>1</v>
      </c>
      <c r="O122" s="29">
        <f t="shared" si="76"/>
        <v>1</v>
      </c>
      <c r="P122" s="29">
        <v>0</v>
      </c>
      <c r="Q122" s="29">
        <f t="shared" si="77"/>
        <v>2</v>
      </c>
      <c r="R122" s="29">
        <f t="shared" si="78"/>
        <v>0</v>
      </c>
    </row>
    <row r="123" spans="1:21" x14ac:dyDescent="0.25">
      <c r="B123" s="79" t="s">
        <v>660</v>
      </c>
      <c r="C123" s="73">
        <v>1</v>
      </c>
      <c r="D123" s="29" t="s">
        <v>361</v>
      </c>
      <c r="E123" s="29"/>
      <c r="F123" s="73" t="s">
        <v>22</v>
      </c>
      <c r="G123" s="73">
        <v>10</v>
      </c>
      <c r="H123" s="73">
        <v>0</v>
      </c>
      <c r="I123" s="73">
        <v>10</v>
      </c>
      <c r="J123" s="29">
        <f t="shared" si="70"/>
        <v>29.3</v>
      </c>
      <c r="K123" s="29">
        <f t="shared" si="79"/>
        <v>49.3</v>
      </c>
      <c r="L123" s="29">
        <f t="shared" si="68"/>
        <v>50</v>
      </c>
      <c r="M123" s="78" t="str">
        <f t="shared" si="74"/>
        <v>M16x50-HDG-8.8</v>
      </c>
      <c r="N123" s="29">
        <f t="shared" si="75"/>
        <v>1</v>
      </c>
      <c r="O123" s="29">
        <f t="shared" si="76"/>
        <v>1</v>
      </c>
      <c r="P123" s="29">
        <v>0</v>
      </c>
      <c r="Q123" s="29">
        <f t="shared" si="77"/>
        <v>2</v>
      </c>
      <c r="R123" s="29">
        <f t="shared" si="78"/>
        <v>0</v>
      </c>
    </row>
    <row r="124" spans="1:21" x14ac:dyDescent="0.25">
      <c r="M124" s="78"/>
    </row>
    <row r="125" spans="1:21" x14ac:dyDescent="0.25">
      <c r="A125" s="59"/>
      <c r="B125" s="121" t="s">
        <v>388</v>
      </c>
      <c r="C125" s="123"/>
      <c r="D125" s="125"/>
      <c r="E125" s="125"/>
      <c r="F125" s="123"/>
      <c r="G125" s="123"/>
      <c r="H125" s="123"/>
      <c r="I125" s="123"/>
      <c r="J125" s="123"/>
      <c r="K125" s="123"/>
      <c r="L125" s="123"/>
      <c r="M125" s="123"/>
      <c r="N125" s="123"/>
      <c r="O125" s="123"/>
      <c r="P125" s="123"/>
      <c r="Q125" s="123"/>
      <c r="R125" s="123"/>
      <c r="S125" s="126"/>
      <c r="T125" s="127"/>
      <c r="U125" s="136"/>
    </row>
    <row r="126" spans="1:21" x14ac:dyDescent="0.25">
      <c r="B126" s="190" t="s">
        <v>661</v>
      </c>
      <c r="C126" s="73" t="s">
        <v>520</v>
      </c>
      <c r="D126" s="29" t="s">
        <v>87</v>
      </c>
      <c r="E126" s="196" t="s">
        <v>521</v>
      </c>
      <c r="F126" s="29" t="str">
        <f>IF(C126="Ø300","M12",IF(C126="Ø350","M12",IF(C126="Ø400","M12",IF(C126="Ø450","M12",IF(C126="Ø500","M12",IF(C126="Ø550","M12",IF(C126="Ø600","M12",IF(C126="Ø650","M12",IF(C126="Ø700","M12",IF(C126="Ø750","M12","M16"))))))))))</f>
        <v>M12</v>
      </c>
      <c r="G126" s="29">
        <v>15</v>
      </c>
      <c r="H126" s="29">
        <v>5</v>
      </c>
      <c r="I126" s="29">
        <v>25</v>
      </c>
      <c r="J126" s="29">
        <f>IF(F126=$K$1,$K$2+2*$K$3+$K$5,
IF(F126=$L$1,$L$2+2*$L$3+$L$5,
IF(F126=$M$1,$M$2+2*$M$3+$M$5,
IF(F126=$N$1,$N$2+2*$N$3+$N$5,
IF(F126=$O$1,$O$2+2*$O$3+$O$5,
IF(F126=$P$1,$P$2+2*$P$3+$P$5,
IF(F126=$Q$1,$Q$2+2*$Q$3+$Q$5,
IF(F126=$R$1,$R$2+2*$R$3+$R$5,
IF(F126=$S$1,$S$2+2*$S$3+$S$5,"")))))))))</f>
        <v>20.8</v>
      </c>
      <c r="K126" s="29">
        <f>SUM(G126:J126)</f>
        <v>65.8</v>
      </c>
      <c r="L126" s="29">
        <f>CEILING(K126, 10)</f>
        <v>70</v>
      </c>
      <c r="M126" s="78" t="str">
        <f>(CONCATENATE(F126,"x",L126,"-",IF(F126=$K$1,$C$4,IF(F126=$L$1,$C$4,IF(F126=$M$1,$C$4,IF(F126=$N$1,$C$4,IF(F126=$O$1,$C$4,IF(F126=$P$1,$C$5,IF(F126=$Q$1,$C$5,IF(F126=$R$1,$C$5,IF(F126=$S$1,$C$5,0)))))))))))</f>
        <v>M12x70-HDG-8.8</v>
      </c>
      <c r="N126" s="29">
        <f>IF(C126="Ø300",16,IF(C126="Ø350",16,IF(C126="Ø400",20,IF(C126="Ø450",20,IF(C126="Ø500",24,IF(C126="Ø550",24,IF(C126="Ø600",24,IF(C126="Ø650",24,IF(C126="Ø700",28,IF(C126="Ø750",32,IF(C126="Ø800",32,IF(C126="Ø850",32,IF(C126="Ø900",34,IF(C126="Ø950",34,IF(C126="Ø1000",34,0)))))))))))))))</f>
        <v>24</v>
      </c>
      <c r="O126" s="29">
        <f>N126*1</f>
        <v>24</v>
      </c>
      <c r="P126" s="29">
        <v>0</v>
      </c>
      <c r="Q126" s="29">
        <f>N126*2</f>
        <v>48</v>
      </c>
      <c r="R126" s="29">
        <f>N126*0</f>
        <v>0</v>
      </c>
      <c r="S126" s="83" t="s">
        <v>522</v>
      </c>
    </row>
    <row r="127" spans="1:21" x14ac:dyDescent="0.25">
      <c r="B127" s="181"/>
      <c r="C127" s="73">
        <v>600</v>
      </c>
      <c r="D127" s="29" t="s">
        <v>87</v>
      </c>
      <c r="E127" s="183"/>
      <c r="F127" s="29" t="s">
        <v>21</v>
      </c>
      <c r="G127" s="29">
        <v>12</v>
      </c>
      <c r="H127" s="29">
        <v>5</v>
      </c>
      <c r="I127" s="29">
        <v>10</v>
      </c>
      <c r="J127" s="29">
        <f>IF(F127=$K$1,$K$2+2*$K$3+$K$5,
IF(F127=$L$1,$L$2+2*$L$3+$L$5,
IF(F127=$M$1,$M$2+2*$M$3+$M$5,
IF(F127=$N$1,$N$2+2*$N$3+$N$5,
IF(F127=$O$1,$O$2+2*$O$3+$O$5,
IF(F127=$P$1,$P$2+2*$P$3+$P$5,
IF(F127=$Q$1,$Q$2+2*$Q$3+$Q$5,
IF(F127=$R$1,$R$2+2*$R$3+$R$5,
IF(F127=$S$1,$S$2+2*$S$3+$S$5,"")))))))))</f>
        <v>20.8</v>
      </c>
      <c r="K127" s="29">
        <f>SUM(G127:J127)</f>
        <v>47.8</v>
      </c>
      <c r="L127" s="29">
        <f>CEILING(K127, 10)</f>
        <v>50</v>
      </c>
      <c r="M127" s="78" t="str">
        <f>(CONCATENATE(F127,"x",L127,"-",IF(F127=$K$1,$C$4,IF(F127=$L$1,$C$4,IF(F127=$M$1,$C$4,IF(F127=$N$1,$C$4,IF(F127=$O$1,$C$4,IF(F127=$P$1,$C$5,IF(F127=$Q$1,$C$5,IF(F127=$R$1,$C$5,IF(F127=$S$1,$C$5,0)))))))))))</f>
        <v>M12x50-HDG-8.8</v>
      </c>
      <c r="N127" s="86">
        <f>CEILING(IF(C126="Ø300",5*2+2*(C127-170)/90,IF(C126="Ø350",5*2+2*(C127-170)/90,IF(C126="Ø400",6*2+2*(C127-170)/90,IF(C126="Ø450",6*2+2*(C127-170)/90,IF(C126="Ø500",7*2+2*(C127-170)/90,IF(C126="Ø550",7*2+2*(C127-170)/90,IF(C126="Ø600",7*2+2*(C127-170)/90,IF(C126="Ø650",7*2+2*(C127-170)/90,IF(C126="Ø750",7*2+2*(C127-170)/90,IF(C126="Ø800",7*2+2*(C127-170)/90,IF(C126="Ø850",7*2+2*(C127-170)/90,IF(C126="Ø900",7*2+2*(C127-170)/90,IF(C126="Ø950",7*2+2*(C127-170)/90,IF(C126="Ø1000",7*2+2*(C127-170)/90,0)))))))))))))),1)</f>
        <v>24</v>
      </c>
      <c r="O127" s="86">
        <f>N127*1</f>
        <v>24</v>
      </c>
      <c r="P127" s="29">
        <v>0</v>
      </c>
      <c r="Q127" s="86">
        <f>N127*2</f>
        <v>48</v>
      </c>
      <c r="R127" s="29">
        <f>N127*0</f>
        <v>0</v>
      </c>
      <c r="S127" s="83" t="s">
        <v>662</v>
      </c>
    </row>
    <row r="128" spans="1:21" x14ac:dyDescent="0.25">
      <c r="B128" s="181"/>
      <c r="C128" s="73" t="s">
        <v>663</v>
      </c>
      <c r="D128" s="29" t="s">
        <v>367</v>
      </c>
      <c r="E128" s="183"/>
      <c r="F128" s="29" t="str">
        <f>IF(C128="SD-11/01","M10",IF(C128="SD-11/02","M10",IF(C128="SD-11/03","M12",IF(C128="SD-11/04","M12",IF(C128="SD-11/05","M12",IF(C128="SD-11/06","M12",IF(C128="SD-11/07","M12",IF(C128="SD-11/08","M12",IF(C128="SD-11/09","M12",IF(C128="SD-11/10","M16",IF(C128="SD-11/11","M20",0)))))))))))</f>
        <v>M12</v>
      </c>
      <c r="G128" s="182"/>
      <c r="H128" s="181"/>
      <c r="I128" s="181"/>
      <c r="J128" s="29"/>
      <c r="K128" s="29"/>
      <c r="L128" s="29">
        <f>IF(C128="SD-11/01",75,IF(C128="SD-11/02",75,IF(C128="SD-11/03",85,IF(C128="SD-11/04",85,IF(C128="SD-11/05",85,75)))))</f>
        <v>85</v>
      </c>
      <c r="M128" s="78" t="str">
        <f>(CONCATENATE(F128,"-STUDx",L128,"-",IF(F128=$K$1,$C$4,IF(F128=$L$1,$C$4,IF(F128=$M$1,$C$4,IF(F128=$N$1,$C$4,IF(F128=$O$1,$C$4,IF(F128=$P$1,$C$5,IF(F128=$Q$1,$C$5,IF(F128=$R$1,$C$5,IF(F128=$S$1,$C$5,0)))))))))))</f>
        <v>M12-STUDx85-HDG-8.8</v>
      </c>
      <c r="N128" s="86">
        <v>0</v>
      </c>
      <c r="O128" s="86">
        <f>IF(C128="SD-11/01",4,IF(C128="SD-11/02",6,IF(C128="SD-11/03",6,IF(C128="SD-11/04",6,IF(C128="SD-11/05",6,IF(C128="SD-11/06",6,IF(C128="SD-11/07",6,IF(C128="SD-11/08",6,IF(C128="SD-11/09",12,IF(C128="SD-11/10",12,IF(C128="SD-11/11",12,0)))))))))))</f>
        <v>6</v>
      </c>
      <c r="P128" s="29">
        <v>0</v>
      </c>
      <c r="Q128" s="86">
        <f>O128*1</f>
        <v>6</v>
      </c>
      <c r="R128" s="29">
        <f>O128*0</f>
        <v>0</v>
      </c>
      <c r="S128" s="83" t="s">
        <v>529</v>
      </c>
    </row>
    <row r="129" spans="2:19" x14ac:dyDescent="0.25">
      <c r="B129" s="181"/>
      <c r="C129" s="73" t="s">
        <v>532</v>
      </c>
      <c r="D129" s="29" t="s">
        <v>87</v>
      </c>
      <c r="E129" s="183"/>
      <c r="F129" s="29" t="s">
        <v>22</v>
      </c>
      <c r="G129" s="29">
        <v>12</v>
      </c>
      <c r="H129" s="29">
        <v>0</v>
      </c>
      <c r="I129" s="29">
        <v>17</v>
      </c>
      <c r="J129" s="29">
        <f>IF(F129=$K$1,$K$2+2*$K$3+$K$5,
IF(F129=$L$1,$L$2+2*$L$3+$L$5,
IF(F129=$M$1,$M$2+2*$M$3+$M$5,
IF(F129=$N$1,$N$2+2*$N$3+$N$5,
IF(F129=$O$1,$O$2+2*$O$3+$O$5,
IF(F129=$P$1,$P$2+2*$P$3+$P$5,
IF(F129=$Q$1,$Q$2+2*$Q$3+$Q$5,
IF(F129=$R$1,$R$2+2*$R$3+$R$5,
IF(F129=$S$1,$S$2+2*$S$3+$S$5,"")))))))))</f>
        <v>25.8</v>
      </c>
      <c r="K129" s="29">
        <f>SUM(G129:J129)</f>
        <v>54.8</v>
      </c>
      <c r="L129" s="29">
        <f>CEILING(K129, 10)</f>
        <v>60</v>
      </c>
      <c r="M129" s="78" t="str">
        <f>(CONCATENATE(F129,"x",L129,"-",IF(F129=$K$1,$C$4,IF(F129=$L$1,$C$4,IF(F129=$M$1,$C$4,IF(F129=$N$1,$C$4,IF(F129=$O$1,$C$4,IF(F129=$P$1,$C$5,IF(F129=$Q$1,$C$5,IF(F129=$R$1,$C$5,IF(F129=$S$1,$C$5,0)))))))))))</f>
        <v>M16x60-HDG-8.8</v>
      </c>
      <c r="N129" s="86">
        <f>IF(C129="NO CT", 0, 4)</f>
        <v>4</v>
      </c>
      <c r="O129" s="86">
        <f>N129*1</f>
        <v>4</v>
      </c>
      <c r="P129" s="29">
        <v>0</v>
      </c>
      <c r="Q129" s="86">
        <f>N129*2</f>
        <v>8</v>
      </c>
      <c r="R129" s="29">
        <f>N129*0</f>
        <v>0</v>
      </c>
      <c r="S129" s="83" t="s">
        <v>533</v>
      </c>
    </row>
    <row r="130" spans="2:19" x14ac:dyDescent="0.25">
      <c r="B130" s="189" t="s">
        <v>664</v>
      </c>
      <c r="C130" s="73" t="s">
        <v>520</v>
      </c>
      <c r="D130" s="29" t="s">
        <v>87</v>
      </c>
      <c r="E130" s="182" t="s">
        <v>538</v>
      </c>
      <c r="F130" s="29" t="str">
        <f>IF(C130="Ø300","M12",IF(C130="Ø350","M12",IF(C130="Ø400","M12",IF(C130="Ø450","M12",IF(C130="Ø500","M12",IF(C130="Ø550","M12",IF(C130="Ø600","M12",IF(C130="Ø650","M12",IF(C130="Ø700","M12",IF(C130="Ø750","M12","M16"))))))))))</f>
        <v>M12</v>
      </c>
      <c r="G130" s="29">
        <v>12</v>
      </c>
      <c r="H130" s="29">
        <v>0</v>
      </c>
      <c r="I130" s="29">
        <v>25</v>
      </c>
      <c r="J130" s="29">
        <f>IF(F130=$K$1,$K$2+2*$K$3+$K$5,
IF(F130=$L$1,$L$2+2*$L$3+$L$5,
IF(F130=$M$1,$M$2+2*$M$3+$M$5,
IF(F130=$N$1,$N$2+2*$N$3+$N$5,
IF(F130=$O$1,$O$2+2*$O$3+$O$5,
IF(F130=$P$1,$P$2+2*$P$3+$P$5,
IF(F130=$Q$1,$Q$2+2*$Q$3+$Q$5,
IF(F130=$R$1,$R$2+2*$R$3+$R$5,
IF(F130=$S$1,$S$2+2*$S$3+$S$5,"")))))))))</f>
        <v>20.8</v>
      </c>
      <c r="K130" s="29">
        <f>SUM(G130:J130)</f>
        <v>57.8</v>
      </c>
      <c r="L130" s="29">
        <f>CEILING(K130, 10)</f>
        <v>60</v>
      </c>
      <c r="M130" s="78" t="str">
        <f>(CONCATENATE(F130,"x",L130,"-",IF(F130=$K$1,$C$4,IF(F130=$L$1,$C$4,IF(F130=$M$1,$C$4,IF(F130=$N$1,$C$4,IF(F130=$O$1,$C$4,IF(F130=$P$1,$C$5,IF(F130=$Q$1,$C$5,IF(F130=$R$1,$C$5,IF(F130=$S$1,$C$5,0)))))))))))</f>
        <v>M12x60-HDG-8.8</v>
      </c>
      <c r="N130" s="29">
        <f>IF(C130="Ø300",16,IF(C130="Ø350",16*2,IF(C130="Ø400",20*2,IF(C130="Ø450",20*2,IF(C130="Ø500",24*2,IF(C130="Ø550",24*2,IF(C130="Ø600",24*2,IF(C130="Ø650",24*2,IF(C130="Ø700",28*2,IF(C130="Ø750",32*2,IF(C130="Ø800",32*2,IF(C130="Ø850",32*2,IF(C130="Ø900",34*2,IF(C130="Ø950",34*2,IF(C130="Ø1000",34*2,0)))))))))))))))</f>
        <v>48</v>
      </c>
      <c r="O130" s="29">
        <f>N130*1</f>
        <v>48</v>
      </c>
      <c r="P130" s="29">
        <v>0</v>
      </c>
      <c r="Q130" s="29">
        <f>N130*2</f>
        <v>96</v>
      </c>
      <c r="R130" s="29">
        <f>N130*0</f>
        <v>0</v>
      </c>
      <c r="S130" s="83" t="s">
        <v>522</v>
      </c>
    </row>
    <row r="131" spans="2:19" x14ac:dyDescent="0.25">
      <c r="B131" s="181"/>
      <c r="C131" s="73">
        <v>600</v>
      </c>
      <c r="D131" s="29" t="s">
        <v>87</v>
      </c>
      <c r="E131" s="183"/>
      <c r="F131" s="29" t="s">
        <v>21</v>
      </c>
      <c r="G131" s="29">
        <v>12</v>
      </c>
      <c r="H131" s="29">
        <v>5</v>
      </c>
      <c r="I131" s="29">
        <v>10</v>
      </c>
      <c r="J131" s="29">
        <f>IF(F131=$K$1,$K$2+2*$K$3+$K$5,
IF(F131=$L$1,$L$2+2*$L$3+$L$5,
IF(F131=$M$1,$M$2+2*$M$3+$M$5,
IF(F131=$N$1,$N$2+2*$N$3+$N$5,
IF(F131=$O$1,$O$2+2*$O$3+$O$5,
IF(F131=$P$1,$P$2+2*$P$3+$P$5,
IF(F131=$Q$1,$Q$2+2*$Q$3+$Q$5,
IF(F131=$R$1,$R$2+2*$R$3+$R$5,
IF(F131=$S$1,$S$2+2*$S$3+$S$5,"")))))))))</f>
        <v>20.8</v>
      </c>
      <c r="K131" s="29">
        <f>SUM(G131:J131)</f>
        <v>47.8</v>
      </c>
      <c r="L131" s="29">
        <f>CEILING(K131, 10)</f>
        <v>50</v>
      </c>
      <c r="M131" s="78" t="str">
        <f>(CONCATENATE(F131,"x",L131,"-",IF(F131=$K$1,$C$4,IF(F131=$L$1,$C$4,IF(F131=$M$1,$C$4,IF(F131=$N$1,$C$4,IF(F131=$O$1,$C$4,IF(F131=$P$1,$C$5,IF(F131=$Q$1,$C$5,IF(F131=$R$1,$C$5,IF(F131=$S$1,$C$5,0)))))))))))</f>
        <v>M12x50-HDG-8.8</v>
      </c>
      <c r="N131" s="86">
        <f>CEILING(IF(C130="Ø300",5*2+2*(C131-170)/90,IF(C130="Ø350",5*2+2*(C131-170)/90,IF(C130="Ø400",6*2+2*(C131-170)/90,IF(C130="Ø450",6*2+2*(C131-170)/90,IF(C130="Ø500",7*2+2*(C131-170)/90,IF(C130="Ø550",7*2+2*(C131-170)/90,IF(C130="Ø600",7*2+2*(C131-170)/90,IF(C130="Ø650",7*2+2*(C131-170)/90,IF(C130="Ø750",7*2+2*(C131-170)/90,IF(C130="Ø800",7*2+2*(C131-170)/90,IF(C130="Ø850",7*2+2*(C131-170)/90,IF(C130="Ø900",7*2+2*(C131-170)/90,IF(C130="Ø950",7*2+2*(C131-170)/90,IF(C130="Ø1000",7*2+2*(C131-170)/90,0)))))))))))))),1)</f>
        <v>24</v>
      </c>
      <c r="O131" s="86">
        <f>N131*1</f>
        <v>24</v>
      </c>
      <c r="P131" s="29">
        <v>0</v>
      </c>
      <c r="Q131" s="86">
        <f>N131*2</f>
        <v>48</v>
      </c>
      <c r="R131" s="29">
        <f>N131*0</f>
        <v>0</v>
      </c>
      <c r="S131" s="83" t="s">
        <v>662</v>
      </c>
    </row>
    <row r="132" spans="2:19" x14ac:dyDescent="0.25">
      <c r="B132" s="181"/>
      <c r="C132" s="73" t="s">
        <v>663</v>
      </c>
      <c r="D132" s="29" t="s">
        <v>367</v>
      </c>
      <c r="E132" s="183"/>
      <c r="F132" s="29" t="str">
        <f>IF(C132="SD-11/01","M10",IF(C132="SD-11/02","M10",IF(C132="SD-11/03","M12",IF(C132="SD-11/04","M12",IF(C132="SD-11/05","M12",IF(C132="SD-11/06","M12",IF(C132="SD-11/07","M12",IF(C132="SD-11/08","M12",IF(C132="SD-11/09","M12",IF(C132="SD-11/10","M16",IF(C132="SD-11/11","M20",0)))))))))))</f>
        <v>M12</v>
      </c>
      <c r="G132" s="182"/>
      <c r="H132" s="181"/>
      <c r="I132" s="181"/>
      <c r="J132" s="29"/>
      <c r="K132" s="29"/>
      <c r="L132" s="29">
        <f>IF(C132="SD-11/01",75,IF(C132="SD-11/02",75,IF(C132="SD-11/03",85,IF(C132="SD-11/04",85,IF(C132="SD-11/05",85,75)))))</f>
        <v>85</v>
      </c>
      <c r="M132" s="78" t="str">
        <f>(CONCATENATE(F132,"-STUDx",L132,"-",IF(F132=$K$1,$C$4,IF(F132=$L$1,$C$4,IF(F132=$M$1,$C$4,IF(F132=$N$1,$C$4,IF(F132=$O$1,$C$4,IF(F132=$P$1,$C$5,IF(F132=$Q$1,$C$5,IF(F132=$R$1,$C$5,IF(F132=$S$1,$C$5,0)))))))))))</f>
        <v>M12-STUDx85-HDG-8.8</v>
      </c>
      <c r="N132" s="86">
        <v>0</v>
      </c>
      <c r="O132" s="86">
        <f>IF(C132="SD-11/01",4,IF(C132="SD-11/02",6,IF(C132="SD-11/03",6,IF(C132="SD-11/04",6,IF(C132="SD-11/05",6,IF(C132="SD-11/06",6,IF(C132="SD-11/07",6,IF(C132="SD-11/08",6,IF(C132="SD-11/09",12,IF(C132="SD-11/10",12,IF(C132="SD-11/11",12,0)))))))))))</f>
        <v>6</v>
      </c>
      <c r="P132" s="29">
        <v>0</v>
      </c>
      <c r="Q132" s="86">
        <f>O132*1</f>
        <v>6</v>
      </c>
      <c r="R132" s="29">
        <f>N132*0</f>
        <v>0</v>
      </c>
      <c r="S132" s="83" t="s">
        <v>529</v>
      </c>
    </row>
    <row r="133" spans="2:19" x14ac:dyDescent="0.25">
      <c r="B133" s="181"/>
      <c r="C133" s="73" t="s">
        <v>520</v>
      </c>
      <c r="D133" s="29" t="s">
        <v>87</v>
      </c>
      <c r="E133" s="183"/>
      <c r="F133" s="29" t="str">
        <f>IF(C133="Ø300","M12",IF(C133="Ø350","M12",IF(C133="Ø400","M12",IF(C133="Ø450","M12",IF(C133="Ø500","M12",IF(C133="Ø550","M12",IF(C133="Ø600","M12",IF(C133="Ø650","M12",IF(C133="Ø700","M12",IF(C133="Ø750","M12","M16"))))))))))</f>
        <v>M12</v>
      </c>
      <c r="G133" s="29">
        <v>12</v>
      </c>
      <c r="H133" s="29"/>
      <c r="I133" s="29">
        <v>25</v>
      </c>
      <c r="J133" s="29">
        <f>IF(F133=$K$1,$K$2+2*$K$3+$K$5,
IF(F133=$L$1,$L$2+2*$L$3+$L$5,
IF(F133=$M$1,$M$2+2*$M$3+$M$5,
IF(F133=$N$1,$N$2+2*$N$3+$N$5,
IF(F133=$O$1,$O$2+2*$O$3+$O$5,
IF(F133=$P$1,$P$2+2*$P$3+$P$5,
IF(F133=$Q$1,$Q$2+2*$Q$3+$Q$5,
IF(F133=$R$1,$R$2+2*$R$3+$R$5,
IF(F133=$S$1,$S$2+2*$S$3+$S$5,"")))))))))</f>
        <v>20.8</v>
      </c>
      <c r="K133" s="29">
        <f>SUM(G133:J133)</f>
        <v>57.8</v>
      </c>
      <c r="L133" s="29">
        <f>IF(C133="SD-11/01",75,IF(C133="SD-11/02",75,IF(C133="SD-11/03",85,IF(C133="SD-11/04",85,IF(C133="SD-11/05",85,75)))))</f>
        <v>75</v>
      </c>
      <c r="M133" s="78" t="str">
        <f>(CONCATENATE(F133,"x",L133,"-",IF(F133=$K$1,$C$4,IF(F133=$L$1,$C$4,IF(F133=$M$1,$C$4,IF(F133=$N$1,$C$4,IF(F133=$O$1,$C$4,IF(F133=$P$1,$C$5,IF(F133=$Q$1,$C$5,IF(F133=$R$1,$C$5,IF(F133=$S$1,$C$5,0)))))))))))</f>
        <v>M12x75-HDG-8.8</v>
      </c>
      <c r="N133" s="86">
        <f>IF(C133="Ø300",16,IF(C133="Ø350",16,IF(C133="Ø400",20,IF(C133="Ø450",20,IF(C133="Ø500",24,IF(C133="Ø550",24,IF(C133="Ø600",24,IF(C133="Ø650",24,IF(C133="Ø700",28,IF(C133="Ø750",32,IF(C133="Ø800",32,IF(C133="Ø850",32,IF(C133="Ø900",34,IF(C133="Ø950",34,IF(C133="Ø1000",34,0)))))))))))))))</f>
        <v>24</v>
      </c>
      <c r="O133" s="86">
        <f>N133*1</f>
        <v>24</v>
      </c>
      <c r="P133" s="29">
        <v>0</v>
      </c>
      <c r="Q133" s="86">
        <f>O133*2</f>
        <v>48</v>
      </c>
      <c r="R133" s="29">
        <v>0</v>
      </c>
      <c r="S133" s="83" t="s">
        <v>547</v>
      </c>
    </row>
    <row r="134" spans="2:19" x14ac:dyDescent="0.25">
      <c r="B134" s="181"/>
      <c r="C134" s="73" t="s">
        <v>532</v>
      </c>
      <c r="D134" s="29" t="s">
        <v>87</v>
      </c>
      <c r="E134" s="183"/>
      <c r="F134" s="29" t="s">
        <v>22</v>
      </c>
      <c r="G134" s="29">
        <v>12</v>
      </c>
      <c r="H134" s="29">
        <v>0</v>
      </c>
      <c r="I134" s="29">
        <v>17</v>
      </c>
      <c r="J134" s="29">
        <f>IF(F134=$K$1,$K$2+2*$K$3+$K$5,
IF(F134=$L$1,$L$2+2*$L$3+$L$5,
IF(F134=$M$1,$M$2+2*$M$3+$M$5,
IF(F134=$N$1,$N$2+2*$N$3+$N$5,
IF(F134=$O$1,$O$2+2*$O$3+$O$5,
IF(F134=$P$1,$P$2+2*$P$3+$P$5,
IF(F134=$Q$1,$Q$2+2*$Q$3+$Q$5,
IF(F134=$R$1,$R$2+2*$R$3+$R$5,
IF(F134=$S$1,$S$2+2*$S$3+$S$5,"")))))))))</f>
        <v>25.8</v>
      </c>
      <c r="K134" s="29">
        <f>SUM(G134:J134)</f>
        <v>54.8</v>
      </c>
      <c r="L134" s="29">
        <f>CEILING(K134, 10)</f>
        <v>60</v>
      </c>
      <c r="M134" s="78" t="str">
        <f>(CONCATENATE(F134,"x",L134,"-",IF(F134=$K$1,$C$4,IF(F134=$L$1,$C$4,IF(F134=$M$1,$C$4,IF(F134=$N$1,$C$4,IF(F134=$O$1,$C$4,IF(F134=$P$1,$C$5,IF(F134=$Q$1,$C$5,IF(F134=$R$1,$C$5,IF(F134=$S$1,$C$5,0)))))))))))</f>
        <v>M16x60-HDG-8.8</v>
      </c>
      <c r="N134" s="86">
        <f>IF(C134="NO CT", 0, 4)</f>
        <v>4</v>
      </c>
      <c r="O134" s="86">
        <f>N134*1</f>
        <v>4</v>
      </c>
      <c r="P134" s="29">
        <v>0</v>
      </c>
      <c r="Q134" s="86">
        <f>N134*2</f>
        <v>8</v>
      </c>
      <c r="R134" s="29">
        <f t="shared" ref="R134:R141" si="80">N134*0</f>
        <v>0</v>
      </c>
      <c r="S134" s="83" t="s">
        <v>533</v>
      </c>
    </row>
    <row r="135" spans="2:19" x14ac:dyDescent="0.25">
      <c r="B135" s="189" t="s">
        <v>665</v>
      </c>
      <c r="C135" s="73" t="s">
        <v>520</v>
      </c>
      <c r="D135" s="29" t="s">
        <v>87</v>
      </c>
      <c r="E135" s="182" t="s">
        <v>521</v>
      </c>
      <c r="F135" s="29" t="str">
        <f>IF(C135="Ø300","M12",IF(C135="Ø350","M12",IF(C135="Ø400","M12",IF(C135="Ø450","M12",IF(C135="Ø500","M12",IF(C135="Ø550","M12",IF(C135="Ø600","M12",IF(C135="Ø650","M12",IF(C135="Ø700","M12",IF(C135="Ø750","M12","M16"))))))))))</f>
        <v>M12</v>
      </c>
      <c r="G135" s="29">
        <v>12</v>
      </c>
      <c r="H135" s="29">
        <v>0</v>
      </c>
      <c r="I135" s="29">
        <v>25</v>
      </c>
      <c r="J135" s="29">
        <f>IF(F135=$K$1,$K$2+2*$K$3+$K$5,
IF(F135=$L$1,$L$2+2*$L$3+$L$5,
IF(F135=$M$1,$M$2+2*$M$3+$M$5,
IF(F135=$N$1,$N$2+2*$N$3+$N$5,
IF(F135=$O$1,$O$2+2*$O$3+$O$5,
IF(F135=$P$1,$P$2+2*$P$3+$P$5,
IF(F135=$Q$1,$Q$2+2*$Q$3+$Q$5,
IF(F135=$R$1,$R$2+2*$R$3+$R$5,
IF(F135=$S$1,$S$2+2*$S$3+$S$5,"")))))))))</f>
        <v>20.8</v>
      </c>
      <c r="K135" s="29">
        <f>SUM(G135:J135)</f>
        <v>57.8</v>
      </c>
      <c r="L135" s="29">
        <f>CEILING(K135, 10)</f>
        <v>60</v>
      </c>
      <c r="M135" s="78" t="str">
        <f>(CONCATENATE(F135,"x",L135,"-",IF(F135=$K$1,$C$4,IF(F135=$L$1,$C$4,IF(F135=$M$1,$C$4,IF(F135=$N$1,$C$4,IF(F135=$O$1,$C$4,IF(F135=$P$1,$C$5,IF(F135=$Q$1,$C$5,IF(F135=$R$1,$C$5,IF(F135=$S$1,$C$5,0)))))))))))</f>
        <v>M12x60-HDG-8.8</v>
      </c>
      <c r="N135" s="29">
        <f>IF(C135="Ø300",16,IF(C135="Ø350",16,IF(C135="Ø400",20,IF(C135="Ø450",20,IF(C135="Ø500",24,IF(C135="Ø550",24,IF(C135="Ø600",24,IF(C135="Ø650",24,IF(C135="Ø700",28,IF(C135="Ø750",32,IF(C135="Ø800",32,IF(C135="Ø850",32,IF(C135="Ø900",34,IF(C135="Ø950",34,IF(C135="Ø1000",34,0)))))))))))))))</f>
        <v>24</v>
      </c>
      <c r="O135" s="29">
        <f>N135*1</f>
        <v>24</v>
      </c>
      <c r="P135" s="29">
        <v>0</v>
      </c>
      <c r="Q135" s="29">
        <f>N135*2</f>
        <v>48</v>
      </c>
      <c r="R135" s="29">
        <f t="shared" si="80"/>
        <v>0</v>
      </c>
      <c r="S135" s="83" t="s">
        <v>522</v>
      </c>
    </row>
    <row r="136" spans="2:19" x14ac:dyDescent="0.25">
      <c r="B136" s="181"/>
      <c r="C136" s="73">
        <v>600</v>
      </c>
      <c r="D136" s="29" t="s">
        <v>87</v>
      </c>
      <c r="E136" s="183"/>
      <c r="F136" s="29" t="s">
        <v>21</v>
      </c>
      <c r="G136" s="29">
        <v>12</v>
      </c>
      <c r="H136" s="29">
        <v>5</v>
      </c>
      <c r="I136" s="29">
        <v>10</v>
      </c>
      <c r="J136" s="29">
        <f>IF(F136=$K$1,$K$2+2*$K$3+$K$5,
IF(F136=$L$1,$L$2+2*$L$3+$L$5,
IF(F136=$M$1,$M$2+2*$M$3+$M$5,
IF(F136=$N$1,$N$2+2*$N$3+$N$5,
IF(F136=$O$1,$O$2+2*$O$3+$O$5,
IF(F136=$P$1,$P$2+2*$P$3+$P$5,
IF(F136=$Q$1,$Q$2+2*$Q$3+$Q$5,
IF(F136=$R$1,$R$2+2*$R$3+$R$5,
IF(F136=$S$1,$S$2+2*$S$3+$S$5,"")))))))))</f>
        <v>20.8</v>
      </c>
      <c r="K136" s="29">
        <f>SUM(G136:J136)</f>
        <v>47.8</v>
      </c>
      <c r="L136" s="29">
        <f>CEILING(K136, 10)</f>
        <v>50</v>
      </c>
      <c r="M136" s="78" t="str">
        <f>(CONCATENATE(F136,"x",L136,"-",IF(F136=$K$1,$C$4,IF(F136=$L$1,$C$4,IF(F136=$M$1,$C$4,IF(F136=$N$1,$C$4,IF(F136=$O$1,$C$4,IF(F136=$P$1,$C$5,IF(F136=$Q$1,$C$5,IF(F136=$R$1,$C$5,IF(F136=$S$1,$C$5,0)))))))))))</f>
        <v>M12x50-HDG-8.8</v>
      </c>
      <c r="N136" s="86">
        <f>CEILING(IF(C135="Ø300",5*2+2*(C136-170)/90,IF(C135="Ø350",5*2+2*(C136-170)/90,IF(C135="Ø400",6*2+2*(C136-170)/90,IF(C135="Ø450",6*2+2*(C136-170)/90,IF(C135="Ø500",7*2+2*(C136-170)/90,IF(C135="Ø550",7*2+2*(C136-170)/90,IF(C135="Ø600",7*2+2*(C136-170)/90,IF(C135="Ø650",7*2+2*(C136-170)/90,IF(C135="Ø750",7*2+2*(C136-170)/90,IF(C135="Ø800",7*2+2*(C136-170)/90,IF(C135="Ø850",7*2+2*(C136-170)/90,IF(C135="Ø900",7*2+2*(C136-170)/90,IF(C135="Ø950",7*2+2*(C136-170)/90,IF(C135="Ø1000",7*2+2*(C136-170)/90,0)))))))))))))),1)</f>
        <v>24</v>
      </c>
      <c r="O136" s="86">
        <f>N136*1</f>
        <v>24</v>
      </c>
      <c r="P136" s="29">
        <v>0</v>
      </c>
      <c r="Q136" s="86">
        <f>N136*2</f>
        <v>48</v>
      </c>
      <c r="R136" s="29">
        <f t="shared" si="80"/>
        <v>0</v>
      </c>
      <c r="S136" s="83" t="s">
        <v>666</v>
      </c>
    </row>
    <row r="137" spans="2:19" x14ac:dyDescent="0.25">
      <c r="B137" s="181"/>
      <c r="C137" s="73" t="s">
        <v>663</v>
      </c>
      <c r="D137" s="29" t="s">
        <v>367</v>
      </c>
      <c r="E137" s="183"/>
      <c r="F137" s="29" t="str">
        <f>IF(C137="SD-11/01","M10",IF(C137="SD-11/02","M10",IF(C137="SD-11/03","M12",IF(C137="SD-11/04","M12",IF(C137="SD-11/05","M12",IF(C137="SD-11/06","M12",IF(C137="SD-11/07","M12",IF(C137="SD-11/08","M12",IF(C137="SD-11/09","M12",IF(C137="SD-11/10","M16",IF(C137="SD-11/11","M20",0)))))))))))</f>
        <v>M12</v>
      </c>
      <c r="G137" s="182"/>
      <c r="H137" s="181"/>
      <c r="I137" s="181"/>
      <c r="J137" s="29"/>
      <c r="K137" s="29"/>
      <c r="L137" s="29">
        <f>IF(C137="SD-11/01",75,IF(C137="SD-11/02",75,IF(C137="SD-11/03",85,IF(C137="SD-11/04",85,IF(C137="SD-11/05",85,75)))))</f>
        <v>85</v>
      </c>
      <c r="M137" s="78" t="str">
        <f>(CONCATENATE(F137,"-STUDx",L137,"-",IF(F137=$K$1,$C$4,IF(F137=$L$1,$C$4,IF(F137=$M$1,$C$4,IF(F137=$N$1,$C$4,IF(F137=$O$1,$C$4,IF(F137=$P$1,$C$5,IF(F137=$Q$1,$C$5,IF(F137=$R$1,$C$5,IF(F137=$S$1,$C$5,0)))))))))))</f>
        <v>M12-STUDx85-HDG-8.8</v>
      </c>
      <c r="N137" s="86">
        <v>0</v>
      </c>
      <c r="O137" s="86">
        <f>IF(C137="SD-11/01",4,IF(C137="SD-11/02",6,IF(C137="SD-11/03",6,IF(C137="SD-11/04",6,IF(C137="SD-11/05",6,IF(C137="SD-11/06",6,IF(C137="SD-11/07",6,IF(C137="SD-11/08",6,IF(C137="SD-11/09",12,IF(C137="SD-11/10",12,IF(C137="SD-11/11",12,0)))))))))))</f>
        <v>6</v>
      </c>
      <c r="P137" s="29">
        <v>0</v>
      </c>
      <c r="Q137" s="86">
        <f>O137*1</f>
        <v>6</v>
      </c>
      <c r="R137" s="29">
        <f t="shared" si="80"/>
        <v>0</v>
      </c>
      <c r="S137" s="83" t="s">
        <v>529</v>
      </c>
    </row>
    <row r="138" spans="2:19" x14ac:dyDescent="0.25">
      <c r="B138" s="181"/>
      <c r="C138" s="73" t="s">
        <v>532</v>
      </c>
      <c r="D138" s="29" t="s">
        <v>87</v>
      </c>
      <c r="E138" s="183"/>
      <c r="F138" s="29" t="s">
        <v>22</v>
      </c>
      <c r="G138" s="29">
        <v>12</v>
      </c>
      <c r="H138" s="29">
        <v>0</v>
      </c>
      <c r="I138" s="29">
        <v>17</v>
      </c>
      <c r="J138" s="29">
        <f>IF(F138=$K$1,$K$2+2*$K$3+$K$5,
IF(F138=$L$1,$L$2+2*$L$3+$L$5,
IF(F138=$M$1,$M$2+2*$M$3+$M$5,
IF(F138=$N$1,$N$2+2*$N$3+$N$5,
IF(F138=$O$1,$O$2+2*$O$3+$O$5,
IF(F138=$P$1,$P$2+2*$P$3+$P$5,
IF(F138=$Q$1,$Q$2+2*$Q$3+$Q$5,
IF(F138=$R$1,$R$2+2*$R$3+$R$5,
IF(F138=$S$1,$S$2+2*$S$3+$S$5,"")))))))))</f>
        <v>25.8</v>
      </c>
      <c r="K138" s="29">
        <f>SUM(G138:J138)</f>
        <v>54.8</v>
      </c>
      <c r="L138" s="29">
        <f>CEILING(K138, 10)</f>
        <v>60</v>
      </c>
      <c r="M138" s="78" t="str">
        <f>(CONCATENATE(F138,"x",L138,"-",IF(F138=$K$1,$C$4,IF(F138=$L$1,$C$4,IF(F138=$M$1,$C$4,IF(F138=$N$1,$C$4,IF(F138=$O$1,$C$4,IF(F138=$P$1,$C$5,IF(F138=$Q$1,$C$5,IF(F138=$R$1,$C$5,IF(F138=$S$1,$C$5,0)))))))))))</f>
        <v>M16x60-HDG-8.8</v>
      </c>
      <c r="N138" s="86">
        <f>IF(C138="NO CT", 0, 4)</f>
        <v>4</v>
      </c>
      <c r="O138" s="86">
        <f>N138*1</f>
        <v>4</v>
      </c>
      <c r="P138" s="29">
        <v>0</v>
      </c>
      <c r="Q138" s="86">
        <f>N138*2</f>
        <v>8</v>
      </c>
      <c r="R138" s="29">
        <f t="shared" si="80"/>
        <v>0</v>
      </c>
      <c r="S138" s="83" t="s">
        <v>533</v>
      </c>
    </row>
    <row r="139" spans="2:19" x14ac:dyDescent="0.25">
      <c r="B139" s="189" t="s">
        <v>667</v>
      </c>
      <c r="C139" s="73" t="s">
        <v>520</v>
      </c>
      <c r="D139" s="29" t="s">
        <v>87</v>
      </c>
      <c r="E139" s="182" t="s">
        <v>538</v>
      </c>
      <c r="F139" s="29" t="str">
        <f>IF(C139="Ø300","M12",IF(C139="Ø350","M12",IF(C139="Ø400","M12",IF(C139="Ø450","M12",IF(C139="Ø500","M12",IF(C139="Ø550","M12",IF(C139="Ø600","M12",IF(C139="Ø650","M12",IF(C139="Ø700","M12",IF(C139="Ø750","M12","M16"))))))))))</f>
        <v>M12</v>
      </c>
      <c r="G139" s="29">
        <v>12</v>
      </c>
      <c r="H139" s="29">
        <v>0</v>
      </c>
      <c r="I139" s="29">
        <v>25</v>
      </c>
      <c r="J139" s="29">
        <f>IF(F139=$K$1,$K$2+2*$K$3+$K$5,
IF(F139=$L$1,$L$2+2*$L$3+$L$5,
IF(F139=$M$1,$M$2+2*$M$3+$M$5,
IF(F139=$N$1,$N$2+2*$N$3+$N$5,
IF(F139=$O$1,$O$2+2*$O$3+$O$5,
IF(F139=$P$1,$P$2+2*$P$3+$P$5,
IF(F139=$Q$1,$Q$2+2*$Q$3+$Q$5,
IF(F139=$R$1,$R$2+2*$R$3+$R$5,
IF(F139=$S$1,$S$2+2*$S$3+$S$5,"")))))))))</f>
        <v>20.8</v>
      </c>
      <c r="K139" s="29">
        <f>SUM(G139:J139)</f>
        <v>57.8</v>
      </c>
      <c r="L139" s="29">
        <f>CEILING(K139, 10)</f>
        <v>60</v>
      </c>
      <c r="M139" s="78" t="str">
        <f>(CONCATENATE(F139,"x",L139,"-",IF(F139=$K$1,$C$4,IF(F139=$L$1,$C$4,IF(F139=$M$1,$C$4,IF(F139=$N$1,$C$4,IF(F139=$O$1,$C$4,IF(F139=$P$1,$C$5,IF(F139=$Q$1,$C$5,IF(F139=$R$1,$C$5,IF(F139=$S$1,$C$5,0)))))))))))</f>
        <v>M12x60-HDG-8.8</v>
      </c>
      <c r="N139" s="29">
        <f>IF(C139="Ø300",16,IF(C139="Ø350",16*2,IF(C139="Ø400",20*2,IF(C139="Ø450",20*2,IF(C139="Ø500",24*2,IF(C139="Ø550",24*2,IF(C139="Ø600",24*2,IF(C139="Ø650",24*2,IF(C139="Ø700",28*2,IF(C139="Ø750",32*2,IF(C139="Ø800",32*2,IF(C139="Ø850",32*2,IF(C139="Ø900",34*2,IF(C139="Ø950",34*2,IF(C139="Ø1000",34*2,0)))))))))))))))</f>
        <v>48</v>
      </c>
      <c r="O139" s="29">
        <f>N139*1</f>
        <v>48</v>
      </c>
      <c r="P139" s="29">
        <v>0</v>
      </c>
      <c r="Q139" s="29">
        <f>N139*2</f>
        <v>96</v>
      </c>
      <c r="R139" s="29">
        <f t="shared" si="80"/>
        <v>0</v>
      </c>
      <c r="S139" s="83" t="s">
        <v>522</v>
      </c>
    </row>
    <row r="140" spans="2:19" x14ac:dyDescent="0.25">
      <c r="B140" s="181"/>
      <c r="C140" s="73">
        <v>600</v>
      </c>
      <c r="D140" s="29" t="s">
        <v>87</v>
      </c>
      <c r="E140" s="183"/>
      <c r="F140" s="29" t="s">
        <v>21</v>
      </c>
      <c r="G140" s="29">
        <v>12</v>
      </c>
      <c r="H140" s="29">
        <v>5</v>
      </c>
      <c r="I140" s="29">
        <v>10</v>
      </c>
      <c r="J140" s="29">
        <f>IF(F140=$K$1,$K$2+2*$K$3+$K$5,
IF(F140=$L$1,$L$2+2*$L$3+$L$5,
IF(F140=$M$1,$M$2+2*$M$3+$M$5,
IF(F140=$N$1,$N$2+2*$N$3+$N$5,
IF(F140=$O$1,$O$2+2*$O$3+$O$5,
IF(F140=$P$1,$P$2+2*$P$3+$P$5,
IF(F140=$Q$1,$Q$2+2*$Q$3+$Q$5,
IF(F140=$R$1,$R$2+2*$R$3+$R$5,
IF(F140=$S$1,$S$2+2*$S$3+$S$5,"")))))))))</f>
        <v>20.8</v>
      </c>
      <c r="K140" s="29">
        <f>SUM(G140:J140)</f>
        <v>47.8</v>
      </c>
      <c r="L140" s="29">
        <f>CEILING(K140, 10)</f>
        <v>50</v>
      </c>
      <c r="M140" s="78" t="str">
        <f>(CONCATENATE(F140,"x",L140,"-",IF(F140=$K$1,$C$4,IF(F140=$L$1,$C$4,IF(F140=$M$1,$C$4,IF(F140=$N$1,$C$4,IF(F140=$O$1,$C$4,IF(F140=$P$1,$C$5,IF(F140=$Q$1,$C$5,IF(F140=$R$1,$C$5,IF(F140=$S$1,$C$5,0)))))))))))</f>
        <v>M12x50-HDG-8.8</v>
      </c>
      <c r="N140" s="86">
        <f>CEILING(IF(C139="Ø300",5*2+2*(C140-170)/90,IF(C139="Ø350",5*2+2*(C140-170)/90,IF(C139="Ø400",6*2+2*(C140-170)/90,IF(C139="Ø450",6*2+2*(C140-170)/90,IF(C139="Ø500",7*2+2*(C140-170)/90,IF(C139="Ø550",7*2+2*(C140-170)/90,IF(C139="Ø600",7*2+2*(C140-170)/90,IF(C139="Ø650",7*2+2*(C140-170)/90,IF(C139="Ø750",7*2+2*(C140-170)/90,IF(C139="Ø800",7*2+2*(C140-170)/90,IF(C139="Ø850",7*2+2*(C140-170)/90,IF(C139="Ø900",7*2+2*(C140-170)/90,IF(C139="Ø950",7*2+2*(C140-170)/90,IF(C139="Ø1000",7*2+2*(C140-170)/90,0)))))))))))))),1)</f>
        <v>24</v>
      </c>
      <c r="O140" s="86">
        <f>N140*1</f>
        <v>24</v>
      </c>
      <c r="P140" s="29">
        <v>0</v>
      </c>
      <c r="Q140" s="86">
        <f>N140*2</f>
        <v>48</v>
      </c>
      <c r="R140" s="29">
        <f t="shared" si="80"/>
        <v>0</v>
      </c>
      <c r="S140" s="83" t="s">
        <v>662</v>
      </c>
    </row>
    <row r="141" spans="2:19" x14ac:dyDescent="0.25">
      <c r="B141" s="181"/>
      <c r="C141" s="73" t="s">
        <v>663</v>
      </c>
      <c r="D141" s="29" t="s">
        <v>367</v>
      </c>
      <c r="E141" s="183"/>
      <c r="F141" s="29" t="str">
        <f>IF(C141="SD-11/01","M10",IF(C141="SD-11/02","M10",IF(C141="SD-11/03","M12",IF(C141="SD-11/04","M12",IF(C141="SD-11/05","M12",IF(C141="SD-11/06","M12",IF(C141="SD-11/07","M12",IF(C141="SD-11/08","M12",IF(C141="SD-11/09","M12",IF(C141="SD-11/10","M16",IF(C141="SD-11/11","M20",0)))))))))))</f>
        <v>M12</v>
      </c>
      <c r="G141" s="182"/>
      <c r="H141" s="181"/>
      <c r="I141" s="181"/>
      <c r="J141" s="29"/>
      <c r="K141" s="29"/>
      <c r="L141" s="29">
        <f>IF(C141="SD-11/01",75,IF(C141="SD-11/02",75,IF(C141="SD-11/03",85,IF(C141="SD-11/04",85,IF(C141="SD-11/05",85,75)))))</f>
        <v>85</v>
      </c>
      <c r="M141" s="78" t="str">
        <f>(CONCATENATE(F141,"-STUDx",L141,"-",IF(F141=$K$1,$C$4,IF(F141=$L$1,$C$4,IF(F141=$M$1,$C$4,IF(F141=$N$1,$C$4,IF(F141=$O$1,$C$4,IF(F141=$P$1,$C$5,IF(F141=$Q$1,$C$5,IF(F141=$R$1,$C$5,IF(F141=$S$1,$C$5,0)))))))))))</f>
        <v>M12-STUDx85-HDG-8.8</v>
      </c>
      <c r="N141" s="86"/>
      <c r="O141" s="86">
        <f>IF(C141="SD-11/01",4,IF(C141="SD-11/02",6,IF(C141="SD-11/03",6,IF(C141="SD-11/04",6,IF(C141="SD-11/05",6,IF(C141="SD-11/06",6,IF(C141="SD-11/07",6,IF(C141="SD-11/08",6,IF(C141="SD-11/09",12,IF(C141="SD-11/10",12,IF(C141="SD-11/11",12,0)))))))))))</f>
        <v>6</v>
      </c>
      <c r="P141" s="29">
        <v>0</v>
      </c>
      <c r="Q141" s="86">
        <f>O141*1</f>
        <v>6</v>
      </c>
      <c r="R141" s="29">
        <f t="shared" si="80"/>
        <v>0</v>
      </c>
      <c r="S141" s="83" t="s">
        <v>529</v>
      </c>
    </row>
    <row r="142" spans="2:19" x14ac:dyDescent="0.25">
      <c r="B142" s="181"/>
      <c r="C142" s="73" t="s">
        <v>520</v>
      </c>
      <c r="D142" s="29" t="s">
        <v>87</v>
      </c>
      <c r="E142" s="183"/>
      <c r="F142" s="29" t="str">
        <f>IF(C142="Ø300","M12",IF(C142="Ø350","M12",IF(C142="Ø400","M12",IF(C142="Ø450","M12",IF(C142="Ø500","M12",IF(C142="Ø550","M12",IF(C142="Ø600","M12",IF(C142="Ø650","M12",IF(C142="Ø700","M12",IF(C142="Ø750","M12","M16"))))))))))</f>
        <v>M12</v>
      </c>
      <c r="G142" s="29">
        <v>12</v>
      </c>
      <c r="H142" s="29"/>
      <c r="I142" s="29">
        <v>25</v>
      </c>
      <c r="J142" s="29">
        <f t="shared" ref="J142:J170" si="81">IF(F142=$K$1,$K$2+2*$K$3+$K$5,
IF(F142=$L$1,$L$2+2*$L$3+$L$5,
IF(F142=$M$1,$M$2+2*$M$3+$M$5,
IF(F142=$N$1,$N$2+2*$N$3+$N$5,
IF(F142=$O$1,$O$2+2*$O$3+$O$5,
IF(F142=$P$1,$P$2+2*$P$3+$P$5,
IF(F142=$Q$1,$Q$2+2*$Q$3+$Q$5,
IF(F142=$R$1,$R$2+2*$R$3+$R$5,
IF(F142=$S$1,$S$2+2*$S$3+$S$5,"")))))))))</f>
        <v>20.8</v>
      </c>
      <c r="K142" s="29">
        <f t="shared" ref="K142:K153" si="82">SUM(G142:J142)</f>
        <v>57.8</v>
      </c>
      <c r="L142" s="29">
        <f>IF(C142="SD-11/01",75,IF(C142="SD-11/02",75,IF(C142="SD-11/03",85,IF(C142="SD-11/04",85,IF(C142="SD-11/05",85,75)))))</f>
        <v>75</v>
      </c>
      <c r="M142" s="78" t="str">
        <f>(CONCATENATE(F142,"x",L142,"-",IF(F142=$K$1,$C$4,IF(F142=$L$1,$C$4,IF(F142=$M$1,$C$4,IF(F142=$N$1,$C$4,IF(F142=$O$1,$C$4,IF(F142=$P$1,$C$5,IF(F142=$Q$1,$C$5,IF(F142=$R$1,$C$5,IF(F142=$S$1,$C$5,0)))))))))))</f>
        <v>M12x75-HDG-8.8</v>
      </c>
      <c r="N142" s="86">
        <f>IF(C142="Ø300",16,IF(C142="Ø350",16,IF(C142="Ø400",20,IF(C142="Ø450",20,IF(C142="Ø500",24,IF(C142="Ø550",24,IF(C142="Ø600",24,IF(C142="Ø650",24,IF(C142="Ø700",28,IF(C142="Ø750",32,IF(C142="Ø800",32,IF(C142="Ø850",32,IF(C142="Ø900",34,IF(C142="Ø950",34,IF(C142="Ø1000",34,0)))))))))))))))</f>
        <v>24</v>
      </c>
      <c r="O142" s="86">
        <f>N142*1</f>
        <v>24</v>
      </c>
      <c r="P142" s="29">
        <v>0</v>
      </c>
      <c r="Q142" s="86">
        <f>O142*2</f>
        <v>48</v>
      </c>
      <c r="R142" s="29">
        <v>0</v>
      </c>
      <c r="S142" s="83" t="s">
        <v>547</v>
      </c>
    </row>
    <row r="143" spans="2:19" x14ac:dyDescent="0.25">
      <c r="B143" s="181"/>
      <c r="C143" s="73" t="s">
        <v>532</v>
      </c>
      <c r="D143" s="29" t="s">
        <v>87</v>
      </c>
      <c r="E143" s="183"/>
      <c r="F143" s="29" t="s">
        <v>22</v>
      </c>
      <c r="G143" s="29">
        <v>12</v>
      </c>
      <c r="H143" s="29">
        <v>0</v>
      </c>
      <c r="I143" s="29">
        <v>17</v>
      </c>
      <c r="J143" s="29">
        <f t="shared" si="81"/>
        <v>25.8</v>
      </c>
      <c r="K143" s="29">
        <f t="shared" si="82"/>
        <v>54.8</v>
      </c>
      <c r="L143" s="29">
        <f t="shared" ref="L143:L153" si="83">CEILING(K143, 10)</f>
        <v>60</v>
      </c>
      <c r="M143" s="78" t="str">
        <f>(CONCATENATE(F143,"x",L143,"-",IF(F143=$K$1,$C$4,IF(F143=$L$1,$C$4,IF(F143=$M$1,$C$4,IF(F143=$N$1,$C$4,IF(F143=$O$1,$C$4,IF(F143=$P$1,$C$5,IF(F143=$Q$1,$C$5,IF(F143=$R$1,$C$5,IF(F143=$S$1,$C$5,0)))))))))))</f>
        <v>M16x60-HDG-8.8</v>
      </c>
      <c r="N143" s="86">
        <f>IF(C143="NO CT", 0, 4)</f>
        <v>4</v>
      </c>
      <c r="O143" s="86">
        <f>N143*1</f>
        <v>4</v>
      </c>
      <c r="P143" s="29">
        <v>0</v>
      </c>
      <c r="Q143" s="86">
        <f>N143*2</f>
        <v>8</v>
      </c>
      <c r="R143" s="29">
        <f>N143*0</f>
        <v>0</v>
      </c>
      <c r="S143" s="83" t="s">
        <v>533</v>
      </c>
    </row>
    <row r="144" spans="2:19" x14ac:dyDescent="0.25">
      <c r="B144" s="79" t="s">
        <v>668</v>
      </c>
      <c r="C144" s="73">
        <v>1</v>
      </c>
      <c r="D144" s="85" t="s">
        <v>367</v>
      </c>
      <c r="E144" s="85"/>
      <c r="F144" s="29" t="s">
        <v>21</v>
      </c>
      <c r="G144" s="29">
        <v>25</v>
      </c>
      <c r="H144" s="29">
        <v>0</v>
      </c>
      <c r="I144" s="29">
        <v>25</v>
      </c>
      <c r="J144" s="29">
        <f t="shared" si="81"/>
        <v>20.8</v>
      </c>
      <c r="K144" s="29">
        <f t="shared" si="82"/>
        <v>70.8</v>
      </c>
      <c r="L144" s="29">
        <f t="shared" si="83"/>
        <v>80</v>
      </c>
      <c r="M144" s="78" t="str">
        <f>(CONCATENATE(F144,"-STUDx",L144,"-",IF(F144=$K$1,$C$4,IF(F144=$L$1,$C$4,IF(F144=$M$1,$C$4,IF(F144=$N$1,$C$4,IF(F144=$O$1,$C$4,IF(F144=$P$1,$C$5,IF(F144=$Q$1,$C$5,IF(F144=$R$1,$C$5,IF(F144=$S$1,$C$5,0)))))))))))</f>
        <v>M12-STUDx80-HDG-8.8</v>
      </c>
      <c r="N144" s="86">
        <f>C144*0</f>
        <v>0</v>
      </c>
      <c r="O144" s="86">
        <f>C144*24</f>
        <v>24</v>
      </c>
      <c r="P144" s="29">
        <v>0</v>
      </c>
      <c r="Q144" s="86">
        <f>C144*24</f>
        <v>24</v>
      </c>
      <c r="R144" s="29">
        <f>C144*0</f>
        <v>0</v>
      </c>
      <c r="S144" s="83"/>
    </row>
    <row r="145" spans="1:21" x14ac:dyDescent="0.25">
      <c r="B145" s="79" t="s">
        <v>669</v>
      </c>
      <c r="C145" s="73">
        <v>2</v>
      </c>
      <c r="D145" s="85" t="s">
        <v>87</v>
      </c>
      <c r="E145" s="85" t="s">
        <v>670</v>
      </c>
      <c r="F145" s="29" t="s">
        <v>21</v>
      </c>
      <c r="G145" s="29">
        <v>12</v>
      </c>
      <c r="H145" s="29">
        <v>0</v>
      </c>
      <c r="I145" s="29">
        <v>10</v>
      </c>
      <c r="J145" s="29">
        <f t="shared" si="81"/>
        <v>20.8</v>
      </c>
      <c r="K145" s="29">
        <f t="shared" si="82"/>
        <v>42.8</v>
      </c>
      <c r="L145" s="29">
        <f t="shared" si="83"/>
        <v>50</v>
      </c>
      <c r="M145" s="78" t="str">
        <f t="shared" ref="M145:M150" si="84">(CONCATENATE(F145,"x",L145,"-",IF(F145=$K$1,$C$4,IF(F145=$L$1,$C$4,IF(F145=$M$1,$C$4,IF(F145=$N$1,$C$4,IF(F145=$O$1,$C$4,IF(F145=$P$1,$C$5,IF(F145=$Q$1,$C$5,IF(F145=$R$1,$C$5,IF(F145=$S$1,$C$5,0)))))))))))</f>
        <v>M12x50-HDG-8.8</v>
      </c>
      <c r="N145" s="29">
        <f>C145*16</f>
        <v>32</v>
      </c>
      <c r="O145" s="86">
        <f>N145*1</f>
        <v>32</v>
      </c>
      <c r="P145" s="29">
        <v>0</v>
      </c>
      <c r="Q145" s="86">
        <f>N145*2</f>
        <v>64</v>
      </c>
      <c r="R145" s="86">
        <f>N145*1</f>
        <v>32</v>
      </c>
    </row>
    <row r="146" spans="1:21" x14ac:dyDescent="0.25">
      <c r="B146" s="79" t="s">
        <v>671</v>
      </c>
      <c r="C146" s="73">
        <v>1</v>
      </c>
      <c r="D146" s="85" t="s">
        <v>367</v>
      </c>
      <c r="E146" s="85"/>
      <c r="F146" s="29" t="s">
        <v>21</v>
      </c>
      <c r="G146" s="29">
        <v>25</v>
      </c>
      <c r="H146" s="29">
        <v>0</v>
      </c>
      <c r="I146" s="29">
        <v>6</v>
      </c>
      <c r="J146" s="29">
        <f t="shared" si="81"/>
        <v>20.8</v>
      </c>
      <c r="K146" s="29">
        <f t="shared" si="82"/>
        <v>51.8</v>
      </c>
      <c r="L146" s="29">
        <f t="shared" si="83"/>
        <v>60</v>
      </c>
      <c r="M146" s="78" t="str">
        <f t="shared" si="84"/>
        <v>M12x60-HDG-8.8</v>
      </c>
      <c r="N146" s="29">
        <f>C146*0</f>
        <v>0</v>
      </c>
      <c r="O146" s="86">
        <f>C146*16</f>
        <v>16</v>
      </c>
      <c r="P146" s="29">
        <v>0</v>
      </c>
      <c r="Q146" s="86">
        <f>C146*16</f>
        <v>16</v>
      </c>
      <c r="R146" s="86">
        <f>C146*0</f>
        <v>0</v>
      </c>
    </row>
    <row r="147" spans="1:21" x14ac:dyDescent="0.25">
      <c r="B147" s="79" t="s">
        <v>672</v>
      </c>
      <c r="C147" s="73">
        <v>1</v>
      </c>
      <c r="D147" s="85" t="s">
        <v>367</v>
      </c>
      <c r="E147" s="85"/>
      <c r="F147" s="29" t="s">
        <v>21</v>
      </c>
      <c r="G147" s="29">
        <v>25</v>
      </c>
      <c r="H147" s="29">
        <v>0</v>
      </c>
      <c r="I147" s="29">
        <v>12</v>
      </c>
      <c r="J147" s="29">
        <f t="shared" si="81"/>
        <v>20.8</v>
      </c>
      <c r="K147" s="29">
        <f t="shared" si="82"/>
        <v>57.8</v>
      </c>
      <c r="L147" s="29">
        <f t="shared" si="83"/>
        <v>60</v>
      </c>
      <c r="M147" s="78" t="str">
        <f t="shared" si="84"/>
        <v>M12x60-HDG-8.8</v>
      </c>
      <c r="N147" s="29">
        <f>0</f>
        <v>0</v>
      </c>
      <c r="O147" s="29">
        <f>C147*6</f>
        <v>6</v>
      </c>
      <c r="P147" s="29">
        <v>0</v>
      </c>
      <c r="Q147" s="29">
        <f>C147*6</f>
        <v>6</v>
      </c>
      <c r="R147" s="29">
        <f>C147*0</f>
        <v>0</v>
      </c>
    </row>
    <row r="148" spans="1:21" x14ac:dyDescent="0.25">
      <c r="B148" s="79" t="s">
        <v>673</v>
      </c>
      <c r="C148" s="73">
        <v>1</v>
      </c>
      <c r="D148" s="85" t="s">
        <v>361</v>
      </c>
      <c r="E148" s="85"/>
      <c r="F148" s="29" t="s">
        <v>22</v>
      </c>
      <c r="G148" s="29">
        <v>12</v>
      </c>
      <c r="H148" s="29">
        <v>0</v>
      </c>
      <c r="I148" s="29">
        <v>12</v>
      </c>
      <c r="J148" s="29">
        <f t="shared" si="81"/>
        <v>25.8</v>
      </c>
      <c r="K148" s="29">
        <f t="shared" si="82"/>
        <v>49.8</v>
      </c>
      <c r="L148" s="29">
        <f t="shared" si="83"/>
        <v>50</v>
      </c>
      <c r="M148" s="78" t="str">
        <f t="shared" si="84"/>
        <v>M16x50-HDG-8.8</v>
      </c>
      <c r="N148" s="29">
        <f>C148*4</f>
        <v>4</v>
      </c>
      <c r="O148" s="29">
        <f>N148*1</f>
        <v>4</v>
      </c>
      <c r="P148" s="29">
        <v>0</v>
      </c>
      <c r="Q148" s="29">
        <f>N148*2</f>
        <v>8</v>
      </c>
      <c r="R148" s="29">
        <f>N148*0</f>
        <v>0</v>
      </c>
      <c r="S148" s="79"/>
    </row>
    <row r="149" spans="1:21" x14ac:dyDescent="0.25">
      <c r="B149" s="79" t="s">
        <v>674</v>
      </c>
      <c r="C149" s="73">
        <v>2</v>
      </c>
      <c r="D149" s="85" t="s">
        <v>361</v>
      </c>
      <c r="E149" s="85"/>
      <c r="F149" s="29" t="s">
        <v>16</v>
      </c>
      <c r="G149" s="29">
        <v>3</v>
      </c>
      <c r="H149" s="29">
        <v>0</v>
      </c>
      <c r="I149" s="29">
        <v>10</v>
      </c>
      <c r="J149" s="29">
        <f t="shared" si="81"/>
        <v>11.3</v>
      </c>
      <c r="K149" s="29">
        <f t="shared" si="82"/>
        <v>24.3</v>
      </c>
      <c r="L149" s="29">
        <f t="shared" si="83"/>
        <v>30</v>
      </c>
      <c r="M149" s="78" t="str">
        <f t="shared" si="84"/>
        <v>M4x30-HDG-8.8</v>
      </c>
      <c r="N149" s="29">
        <f>C149*2</f>
        <v>4</v>
      </c>
      <c r="O149" s="29">
        <f>N149*1</f>
        <v>4</v>
      </c>
      <c r="P149" s="29">
        <v>0</v>
      </c>
      <c r="Q149" s="29">
        <f>N149*2</f>
        <v>8</v>
      </c>
      <c r="R149" s="29">
        <f>N149*0</f>
        <v>0</v>
      </c>
    </row>
    <row r="150" spans="1:21" x14ac:dyDescent="0.25">
      <c r="B150" s="79" t="s">
        <v>675</v>
      </c>
      <c r="C150" s="73">
        <v>1</v>
      </c>
      <c r="D150" s="85" t="s">
        <v>87</v>
      </c>
      <c r="E150" s="85"/>
      <c r="F150" s="29" t="s">
        <v>22</v>
      </c>
      <c r="G150" s="29">
        <v>16</v>
      </c>
      <c r="H150" s="29">
        <v>5</v>
      </c>
      <c r="I150" s="29">
        <v>16</v>
      </c>
      <c r="J150" s="29">
        <f t="shared" si="81"/>
        <v>25.8</v>
      </c>
      <c r="K150" s="29">
        <f t="shared" si="82"/>
        <v>62.8</v>
      </c>
      <c r="L150" s="29">
        <f t="shared" si="83"/>
        <v>70</v>
      </c>
      <c r="M150" s="78" t="str">
        <f t="shared" si="84"/>
        <v>M16x70-HDG-8.8</v>
      </c>
      <c r="N150" s="29">
        <f>C150*8</f>
        <v>8</v>
      </c>
      <c r="O150" s="29">
        <f>N150*1</f>
        <v>8</v>
      </c>
      <c r="P150" s="29">
        <v>0</v>
      </c>
      <c r="Q150" s="29">
        <f>N150*2</f>
        <v>16</v>
      </c>
      <c r="R150" s="29">
        <f>C150*0</f>
        <v>0</v>
      </c>
    </row>
    <row r="151" spans="1:21" x14ac:dyDescent="0.25">
      <c r="B151" s="79" t="s">
        <v>676</v>
      </c>
      <c r="C151" s="73">
        <v>1</v>
      </c>
      <c r="D151" s="29" t="s">
        <v>367</v>
      </c>
      <c r="E151" s="29"/>
      <c r="F151" s="29" t="s">
        <v>21</v>
      </c>
      <c r="G151" s="29">
        <v>15</v>
      </c>
      <c r="H151" s="29">
        <v>5</v>
      </c>
      <c r="I151" s="29">
        <v>20</v>
      </c>
      <c r="J151" s="29">
        <f t="shared" si="81"/>
        <v>20.8</v>
      </c>
      <c r="K151" s="29">
        <f t="shared" si="82"/>
        <v>60.8</v>
      </c>
      <c r="L151" s="29">
        <f t="shared" si="83"/>
        <v>70</v>
      </c>
      <c r="M151" s="78" t="str">
        <f>(CONCATENATE(F151,"-STUDx",L151,"-",IF(F151=$K$1,$C$4,IF(F151=$L$1,$C$4,IF(F151=$M$1,$C$4,IF(F151=$N$1,$C$4,IF(F151=$O$1,$C$4,IF(F151=$P$1,$C$5,IF(F151=$Q$1,$C$5,IF(F151=$R$1,$C$5,IF(F151=$S$1,$C$5,0)))))))))))</f>
        <v>M12-STUDx70-HDG-8.8</v>
      </c>
      <c r="N151" s="29">
        <v>0</v>
      </c>
      <c r="O151" s="29">
        <f>C151*4</f>
        <v>4</v>
      </c>
      <c r="P151" s="29">
        <v>0</v>
      </c>
      <c r="Q151" s="29">
        <f>C151*4</f>
        <v>4</v>
      </c>
      <c r="R151" s="29">
        <f>C151*0</f>
        <v>0</v>
      </c>
      <c r="S151" s="79"/>
      <c r="T151" s="79"/>
      <c r="U151" s="79"/>
    </row>
    <row r="152" spans="1:21" x14ac:dyDescent="0.25">
      <c r="B152" s="79" t="s">
        <v>677</v>
      </c>
      <c r="C152" s="73" t="s">
        <v>575</v>
      </c>
      <c r="D152" s="29" t="s">
        <v>367</v>
      </c>
      <c r="E152" s="29"/>
      <c r="F152" s="29" t="s">
        <v>21</v>
      </c>
      <c r="G152" s="29">
        <v>16</v>
      </c>
      <c r="H152" s="29">
        <v>0</v>
      </c>
      <c r="I152" s="29">
        <v>16</v>
      </c>
      <c r="J152" s="29">
        <f t="shared" si="81"/>
        <v>20.8</v>
      </c>
      <c r="K152" s="86">
        <f t="shared" si="82"/>
        <v>52.8</v>
      </c>
      <c r="L152" s="29">
        <f t="shared" si="83"/>
        <v>60</v>
      </c>
      <c r="M152" s="78" t="str">
        <f>(CONCATENATE(F152,"-STUDx",L152,"-",IF(F152=$K$1,$C$4,IF(F152=$L$1,$C$4,IF(F152=$M$1,$C$4,IF(F152=$N$1,$C$4,IF(F152=$O$1,$C$4,IF(F152=$P$1,$C$5,IF(F152=$Q$1,$C$5,IF(F152=$R$1,$C$5,IF(F152=$S$1,$C$5,0)))))))))))</f>
        <v>M12-STUDx60-HDG-8.8</v>
      </c>
      <c r="N152" s="29">
        <v>0</v>
      </c>
      <c r="O152" s="29">
        <f>IF(C152="ASM-1",16,IF(C152="ASM-2",16,IF(C152="ASM-3",20,IF(C152="ASM-4",16,IF(C152="ASM-5",20,IF(C152="ASM-6",22,IF(C152="ASM-7",20,IF(C152="ASM-8",24,IF(C152="ASM-9",26,IF(C152="ASM-10",30,IF(C152="ASM-11",32,IF(C152="ASM-12",38,IF(C152="ASM-13",28,IF(C152="ASM-14",32))))))))))))))</f>
        <v>26</v>
      </c>
      <c r="P152" s="29">
        <v>0</v>
      </c>
      <c r="Q152" s="29">
        <f>O152*1</f>
        <v>26</v>
      </c>
      <c r="R152" s="29">
        <f>O152*0</f>
        <v>0</v>
      </c>
    </row>
    <row r="153" spans="1:21" x14ac:dyDescent="0.25">
      <c r="B153" s="79" t="s">
        <v>678</v>
      </c>
      <c r="C153" s="73" t="s">
        <v>569</v>
      </c>
      <c r="D153" s="29" t="s">
        <v>367</v>
      </c>
      <c r="E153" s="29"/>
      <c r="F153" s="29" t="s">
        <v>21</v>
      </c>
      <c r="G153" s="29">
        <v>16</v>
      </c>
      <c r="H153" s="29">
        <v>0</v>
      </c>
      <c r="I153" s="29">
        <v>16</v>
      </c>
      <c r="J153" s="29">
        <f t="shared" si="81"/>
        <v>20.8</v>
      </c>
      <c r="K153" s="86">
        <f t="shared" si="82"/>
        <v>52.8</v>
      </c>
      <c r="L153" s="29">
        <f t="shared" si="83"/>
        <v>60</v>
      </c>
      <c r="M153" s="78" t="str">
        <f>(CONCATENATE(F153,"-STUDx",L153,"-",IF(F153=$K$1,$C$4,IF(F153=$L$1,$C$4,IF(F153=$M$1,$C$4,IF(F153=$N$1,$C$4,IF(F153=$O$1,$C$4,IF(F153=$P$1,$C$5,IF(F153=$Q$1,$C$5,IF(F153=$R$1,$C$5,IF(F153=$S$1,$C$5,0)))))))))))</f>
        <v>M12-STUDx60-HDG-8.8</v>
      </c>
      <c r="N153" s="29">
        <v>0</v>
      </c>
      <c r="O153" s="29">
        <f>IF(C153="ASM-1",16,IF(C153="ASM-2",16,IF(C153="ASM-3",20,IF(C153="ASM-4",16,IF(C153="ASM-5",20,IF(C153="ASM-6",22,IF(C153="ASM-7",20,IF(C153="ASM-8",24,IF(C153="ASM-9",26,IF(C153="ASM-10",30,IF(C153="ASM-11",32,IF(C153="ASM-12",38,IF(C153="ASM-13",28,IF(C153="ASM-14",32))))))))))))))</f>
        <v>38</v>
      </c>
      <c r="P153" s="29">
        <v>0</v>
      </c>
      <c r="Q153" s="29">
        <f>O153*1</f>
        <v>38</v>
      </c>
      <c r="R153" s="29">
        <f>O153*0</f>
        <v>0</v>
      </c>
    </row>
    <row r="154" spans="1:21" x14ac:dyDescent="0.25">
      <c r="C154" s="3"/>
      <c r="F154" s="3"/>
      <c r="G154" s="3"/>
      <c r="H154" s="3"/>
      <c r="I154" s="3"/>
      <c r="J154" s="29" t="str">
        <f t="shared" si="81"/>
        <v/>
      </c>
      <c r="K154" s="3"/>
      <c r="L154" s="3"/>
      <c r="M154" s="78"/>
    </row>
    <row r="155" spans="1:21" x14ac:dyDescent="0.25">
      <c r="A155" s="59"/>
      <c r="B155" s="128" t="s">
        <v>679</v>
      </c>
      <c r="C155" s="123"/>
      <c r="D155" s="125"/>
      <c r="E155" s="125"/>
      <c r="F155" s="123"/>
      <c r="G155" s="123"/>
      <c r="H155" s="123"/>
      <c r="I155" s="123"/>
      <c r="J155" s="146" t="str">
        <f t="shared" si="81"/>
        <v/>
      </c>
      <c r="K155" s="123"/>
      <c r="L155" s="123"/>
      <c r="M155" s="123"/>
      <c r="N155" s="123"/>
      <c r="O155" s="123"/>
      <c r="P155" s="123"/>
      <c r="Q155" s="123"/>
      <c r="R155" s="123"/>
      <c r="S155" s="126"/>
      <c r="T155" s="127"/>
      <c r="U155" s="136"/>
    </row>
    <row r="156" spans="1:21" x14ac:dyDescent="0.25">
      <c r="B156" s="79" t="s">
        <v>680</v>
      </c>
      <c r="C156" s="73" t="s">
        <v>567</v>
      </c>
      <c r="D156" s="29" t="s">
        <v>561</v>
      </c>
      <c r="E156" s="73">
        <v>1</v>
      </c>
      <c r="F156" s="29" t="s">
        <v>21</v>
      </c>
      <c r="G156" s="29">
        <v>16</v>
      </c>
      <c r="H156" s="29">
        <v>0</v>
      </c>
      <c r="I156" s="29">
        <v>16</v>
      </c>
      <c r="J156" s="29">
        <f t="shared" si="81"/>
        <v>20.8</v>
      </c>
      <c r="K156" s="29">
        <f t="shared" ref="K156:K170" si="85">SUM(G156:J156)</f>
        <v>52.8</v>
      </c>
      <c r="L156" s="29">
        <f t="shared" ref="L156:L170" si="86">CEILING(K156, 10)</f>
        <v>60</v>
      </c>
      <c r="M156" s="78" t="str">
        <f>(CONCATENATE(F156,"-STUDx",L156,"-",IF(F156=$K$1,$C$4,IF(F156=$L$1,$C$4,IF(F156=$M$1,$C$4,IF(F156=$N$1,$C$4,IF(F156=$O$1,$C$4,IF(F156=$P$1,$C$5,IF(F156=$Q$1,$C$5,IF(F156=$R$1,$C$5,IF(F156=$S$1,$C$5,0)))))))))))</f>
        <v>M12-STUDx60-HDG-8.8</v>
      </c>
      <c r="N156" s="29">
        <f>0</f>
        <v>0</v>
      </c>
      <c r="O156" s="29">
        <f>IF(C156="ASM-1",16*E156,IF(C156="ASM-2",16*E156,IF(C156="ASM-3",20*E156,IF(C156="ASM-4",16*E156,IF(C156="ASM-5",20*E156,IF(C156="ASM-6",22*E156,IF(C156="ASM-7",20*E156,IF(C156="ASM-8",24*E156,IF(C156="ASM-9",26*E156,IF(C156="ASM-10",30*E156,IF(C156="ASM-11",32*E156,IF(C156="ASM-12",38*E156,IF(C156="ASM-13",28*E156,IF(C156="ASM-14",32*E156))))))))))))))</f>
        <v>28</v>
      </c>
      <c r="P156" s="29">
        <v>0</v>
      </c>
      <c r="Q156" s="29">
        <f>O156*1</f>
        <v>28</v>
      </c>
      <c r="R156" s="29">
        <f>O156*1</f>
        <v>28</v>
      </c>
    </row>
    <row r="157" spans="1:21" x14ac:dyDescent="0.25">
      <c r="B157" s="79" t="s">
        <v>681</v>
      </c>
      <c r="C157" s="73">
        <v>90</v>
      </c>
      <c r="D157" s="29" t="s">
        <v>361</v>
      </c>
      <c r="E157" s="29"/>
      <c r="F157" s="29" t="s">
        <v>21</v>
      </c>
      <c r="G157" s="29">
        <v>12</v>
      </c>
      <c r="H157" s="29">
        <v>8</v>
      </c>
      <c r="I157" s="29">
        <v>12</v>
      </c>
      <c r="J157" s="29">
        <f t="shared" si="81"/>
        <v>20.8</v>
      </c>
      <c r="K157" s="29">
        <f t="shared" si="85"/>
        <v>52.8</v>
      </c>
      <c r="L157" s="29">
        <f t="shared" si="86"/>
        <v>60</v>
      </c>
      <c r="M157" s="78" t="str">
        <f>(CONCATENATE(F157,"x",L157,"-",IF(F157=$K$1,$C$4,IF(F157=$L$1,$C$4,IF(F157=$M$1,$C$4,IF(F157=$N$1,$C$4,IF(F157=$O$1,$C$4,IF(F157=$P$1,$C$5,IF(F157=$Q$1,$C$5,IF(F157=$R$1,$C$5,IF(F157=$S$1,$C$5,0)))))))))))</f>
        <v>M12x60-HDG-8.8</v>
      </c>
      <c r="N157" s="29">
        <f>C157</f>
        <v>90</v>
      </c>
      <c r="O157" s="29">
        <f>N157</f>
        <v>90</v>
      </c>
      <c r="P157" s="29">
        <v>0</v>
      </c>
      <c r="Q157" s="29">
        <f>N157*2</f>
        <v>180</v>
      </c>
      <c r="R157" s="29">
        <f>O157*1</f>
        <v>90</v>
      </c>
    </row>
    <row r="158" spans="1:21" x14ac:dyDescent="0.25">
      <c r="B158" s="79" t="s">
        <v>682</v>
      </c>
      <c r="C158" s="73">
        <v>90</v>
      </c>
      <c r="D158" s="29" t="s">
        <v>361</v>
      </c>
      <c r="E158" s="29"/>
      <c r="F158" s="29" t="s">
        <v>21</v>
      </c>
      <c r="G158" s="29">
        <v>12</v>
      </c>
      <c r="H158" s="29">
        <v>8</v>
      </c>
      <c r="I158" s="29">
        <v>12</v>
      </c>
      <c r="J158" s="29">
        <f t="shared" si="81"/>
        <v>20.8</v>
      </c>
      <c r="K158" s="29">
        <f t="shared" si="85"/>
        <v>52.8</v>
      </c>
      <c r="L158" s="29">
        <f t="shared" si="86"/>
        <v>60</v>
      </c>
      <c r="M158" s="78" t="str">
        <f>(CONCATENATE(F158,"x",L158,"-",IF(F158=$K$1,$C$4,IF(F158=$L$1,$C$4,IF(F158=$M$1,$C$4,IF(F158=$N$1,$C$4,IF(F158=$O$1,$C$4,IF(F158=$P$1,$C$5,IF(F158=$Q$1,$C$5,IF(F158=$R$1,$C$5,IF(F158=$S$1,$C$5,0)))))))))))</f>
        <v>M12x60-HDG-8.8</v>
      </c>
      <c r="N158" s="29">
        <f>C158</f>
        <v>90</v>
      </c>
      <c r="O158" s="29">
        <f>N158</f>
        <v>90</v>
      </c>
      <c r="P158" s="29">
        <v>0</v>
      </c>
      <c r="Q158" s="29">
        <f>N158*2</f>
        <v>180</v>
      </c>
      <c r="R158" s="29">
        <f>O158*1</f>
        <v>90</v>
      </c>
    </row>
    <row r="159" spans="1:21" x14ac:dyDescent="0.25">
      <c r="B159" s="79" t="s">
        <v>683</v>
      </c>
      <c r="C159" s="73">
        <v>90</v>
      </c>
      <c r="D159" s="29" t="s">
        <v>361</v>
      </c>
      <c r="E159" s="29"/>
      <c r="F159" s="29" t="s">
        <v>21</v>
      </c>
      <c r="G159" s="29">
        <v>12</v>
      </c>
      <c r="H159" s="29">
        <v>8</v>
      </c>
      <c r="I159" s="29">
        <v>12</v>
      </c>
      <c r="J159" s="29">
        <f t="shared" si="81"/>
        <v>20.8</v>
      </c>
      <c r="K159" s="29">
        <f t="shared" si="85"/>
        <v>52.8</v>
      </c>
      <c r="L159" s="29">
        <f t="shared" si="86"/>
        <v>60</v>
      </c>
      <c r="M159" s="78" t="str">
        <f>(CONCATENATE(F159,"x",L159,"-",IF(F159=$K$1,$C$4,IF(F159=$L$1,$C$4,IF(F159=$M$1,$C$4,IF(F159=$N$1,$C$4,IF(F159=$O$1,$C$4,IF(F159=$P$1,$C$5,IF(F159=$Q$1,$C$5,IF(F159=$R$1,$C$5,IF(F159=$S$1,$C$5,0)))))))))))</f>
        <v>M12x60-HDG-8.8</v>
      </c>
      <c r="N159" s="29">
        <f>C159</f>
        <v>90</v>
      </c>
      <c r="O159" s="29">
        <f>N159</f>
        <v>90</v>
      </c>
      <c r="P159" s="29">
        <v>0</v>
      </c>
      <c r="Q159" s="29">
        <f>N159*2</f>
        <v>180</v>
      </c>
      <c r="R159" s="29">
        <f>O159*1</f>
        <v>90</v>
      </c>
    </row>
    <row r="160" spans="1:21" x14ac:dyDescent="0.25">
      <c r="B160" s="79" t="s">
        <v>684</v>
      </c>
      <c r="C160" s="73" t="s">
        <v>567</v>
      </c>
      <c r="D160" s="29" t="s">
        <v>561</v>
      </c>
      <c r="E160" s="73">
        <v>1</v>
      </c>
      <c r="F160" s="29" t="s">
        <v>21</v>
      </c>
      <c r="G160" s="29">
        <v>16</v>
      </c>
      <c r="H160" s="29">
        <v>0</v>
      </c>
      <c r="I160" s="29">
        <v>16</v>
      </c>
      <c r="J160" s="29">
        <f t="shared" si="81"/>
        <v>20.8</v>
      </c>
      <c r="K160" s="29">
        <f t="shared" si="85"/>
        <v>52.8</v>
      </c>
      <c r="L160" s="29">
        <f t="shared" si="86"/>
        <v>60</v>
      </c>
      <c r="M160" s="78" t="str">
        <f>(CONCATENATE(F160,"-STUDx",L160,"-",IF(F160=$K$1,$C$4,IF(F160=$L$1,$C$4,IF(F160=$M$1,$C$4,IF(F160=$N$1,$C$4,IF(F160=$O$1,$C$4,IF(F160=$P$1,$C$5,IF(F160=$Q$1,$C$5,IF(F160=$R$1,$C$5,IF(F160=$S$1,$C$5,0)))))))))))</f>
        <v>M12-STUDx60-HDG-8.8</v>
      </c>
      <c r="N160" s="29">
        <f>0</f>
        <v>0</v>
      </c>
      <c r="O160" s="29">
        <f>IF(C160="ASM-1",16*E160,IF(C160="ASM-2",16*E160,IF(C160="ASM-3",20*E160,IF(C160="ASM-4",16*E160,IF(C160="ASM-5",20*E160,IF(C160="ASM-6",22*E160,IF(C160="ASM-7",20*E160,IF(C160="ASM-8",24*E160,IF(C160="ASM-9",26*E160,IF(C160="ASM-10",30*E160,IF(C160="ASM-11",32*E160,IF(C160="ASM-12",38*E160,IF(C160="ASM-13",28*E160,IF(C160="ASM-14",32*E160))))))))))))))</f>
        <v>28</v>
      </c>
      <c r="P160" s="29">
        <v>0</v>
      </c>
      <c r="Q160" s="29">
        <f>O160*1</f>
        <v>28</v>
      </c>
      <c r="R160" s="29">
        <f>O160*1</f>
        <v>28</v>
      </c>
    </row>
    <row r="161" spans="1:20" x14ac:dyDescent="0.25">
      <c r="B161" s="79" t="s">
        <v>685</v>
      </c>
      <c r="C161" s="73" t="s">
        <v>532</v>
      </c>
      <c r="D161" s="29" t="s">
        <v>87</v>
      </c>
      <c r="E161" s="73">
        <v>3</v>
      </c>
      <c r="F161" s="29" t="s">
        <v>22</v>
      </c>
      <c r="G161" s="29">
        <v>12</v>
      </c>
      <c r="H161" s="29">
        <v>0</v>
      </c>
      <c r="I161" s="29">
        <v>16</v>
      </c>
      <c r="J161" s="29">
        <f t="shared" si="81"/>
        <v>25.8</v>
      </c>
      <c r="K161" s="29">
        <f t="shared" si="85"/>
        <v>53.8</v>
      </c>
      <c r="L161" s="29">
        <f t="shared" si="86"/>
        <v>60</v>
      </c>
      <c r="M161" s="78" t="str">
        <f t="shared" ref="M161:M170" si="87">(CONCATENATE(F161,"x",L161,"-",IF(F161=$K$1,$C$4,IF(F161=$L$1,$C$4,IF(F161=$M$1,$C$4,IF(F161=$N$1,$C$4,IF(F161=$O$1,$C$4,IF(F161=$P$1,$C$5,IF(F161=$Q$1,$C$5,IF(F161=$R$1,$C$5,IF(F161=$S$1,$C$5,0)))))))))))</f>
        <v>M16x60-HDG-8.8</v>
      </c>
      <c r="N161" s="86">
        <f>IF(C161="NO CT", 0, 4*E161)</f>
        <v>12</v>
      </c>
      <c r="O161" s="86">
        <f>N161*1</f>
        <v>12</v>
      </c>
      <c r="P161" s="29">
        <v>0</v>
      </c>
      <c r="Q161" s="86">
        <f>N161*2</f>
        <v>24</v>
      </c>
      <c r="R161" s="29">
        <f t="shared" ref="R161:R170" si="88">N161*0</f>
        <v>0</v>
      </c>
      <c r="S161" s="83" t="s">
        <v>533</v>
      </c>
    </row>
    <row r="162" spans="1:20" x14ac:dyDescent="0.25">
      <c r="B162" s="79" t="s">
        <v>686</v>
      </c>
      <c r="C162" s="73" t="s">
        <v>687</v>
      </c>
      <c r="D162" s="29" t="s">
        <v>87</v>
      </c>
      <c r="E162" s="73">
        <v>1</v>
      </c>
      <c r="F162" s="29" t="s">
        <v>21</v>
      </c>
      <c r="G162" s="29">
        <v>12</v>
      </c>
      <c r="H162" s="29">
        <v>0</v>
      </c>
      <c r="I162" s="29">
        <v>12</v>
      </c>
      <c r="J162" s="29">
        <f t="shared" si="81"/>
        <v>20.8</v>
      </c>
      <c r="K162" s="29">
        <f t="shared" si="85"/>
        <v>44.8</v>
      </c>
      <c r="L162" s="29">
        <f t="shared" si="86"/>
        <v>50</v>
      </c>
      <c r="M162" s="78" t="str">
        <f t="shared" si="87"/>
        <v>M12x50-HDG-8.8</v>
      </c>
      <c r="N162" s="86">
        <f>E162</f>
        <v>1</v>
      </c>
      <c r="O162" s="86">
        <f>N162*1</f>
        <v>1</v>
      </c>
      <c r="P162" s="29">
        <v>0</v>
      </c>
      <c r="Q162" s="86">
        <f>N162*2</f>
        <v>2</v>
      </c>
      <c r="R162" s="29">
        <f t="shared" si="88"/>
        <v>0</v>
      </c>
      <c r="S162" s="83"/>
    </row>
    <row r="163" spans="1:20" x14ac:dyDescent="0.25">
      <c r="B163" s="79" t="s">
        <v>688</v>
      </c>
      <c r="C163" s="73">
        <v>1</v>
      </c>
      <c r="D163" s="29" t="s">
        <v>87</v>
      </c>
      <c r="E163" s="73"/>
      <c r="F163" s="29" t="s">
        <v>22</v>
      </c>
      <c r="G163" s="29">
        <v>16</v>
      </c>
      <c r="H163" s="29">
        <v>0</v>
      </c>
      <c r="I163" s="29">
        <v>16</v>
      </c>
      <c r="J163" s="29">
        <f t="shared" si="81"/>
        <v>25.8</v>
      </c>
      <c r="K163" s="29">
        <f t="shared" si="85"/>
        <v>57.8</v>
      </c>
      <c r="L163" s="29">
        <f t="shared" si="86"/>
        <v>60</v>
      </c>
      <c r="M163" s="78" t="str">
        <f t="shared" si="87"/>
        <v>M16x60-HDG-8.8</v>
      </c>
      <c r="N163" s="86">
        <f>C163*8</f>
        <v>8</v>
      </c>
      <c r="O163" s="86">
        <f>N163*1</f>
        <v>8</v>
      </c>
      <c r="P163" s="29">
        <v>0</v>
      </c>
      <c r="Q163" s="86">
        <f>N163*2</f>
        <v>16</v>
      </c>
      <c r="R163" s="29">
        <f t="shared" si="88"/>
        <v>0</v>
      </c>
      <c r="S163" s="83"/>
    </row>
    <row r="164" spans="1:20" x14ac:dyDescent="0.25">
      <c r="B164" s="79" t="s">
        <v>689</v>
      </c>
      <c r="C164" s="73">
        <v>1</v>
      </c>
      <c r="D164" s="29" t="s">
        <v>87</v>
      </c>
      <c r="E164" s="73"/>
      <c r="F164" s="29" t="s">
        <v>22</v>
      </c>
      <c r="G164" s="29">
        <v>12</v>
      </c>
      <c r="H164" s="29">
        <v>0</v>
      </c>
      <c r="I164" s="29">
        <v>12</v>
      </c>
      <c r="J164" s="29">
        <f t="shared" si="81"/>
        <v>25.8</v>
      </c>
      <c r="K164" s="29">
        <f t="shared" si="85"/>
        <v>49.8</v>
      </c>
      <c r="L164" s="29">
        <f t="shared" si="86"/>
        <v>50</v>
      </c>
      <c r="M164" s="78" t="str">
        <f t="shared" si="87"/>
        <v>M16x50-HDG-8.8</v>
      </c>
      <c r="N164" s="86">
        <f>C164*2</f>
        <v>2</v>
      </c>
      <c r="O164" s="86">
        <f>N164*1</f>
        <v>2</v>
      </c>
      <c r="P164" s="29">
        <v>0</v>
      </c>
      <c r="Q164" s="86">
        <f>N164*2</f>
        <v>4</v>
      </c>
      <c r="R164" s="29">
        <f t="shared" si="88"/>
        <v>0</v>
      </c>
      <c r="S164" s="83"/>
    </row>
    <row r="165" spans="1:20" x14ac:dyDescent="0.25">
      <c r="B165" s="79" t="s">
        <v>690</v>
      </c>
      <c r="C165" s="73">
        <v>50</v>
      </c>
      <c r="D165" s="29" t="s">
        <v>87</v>
      </c>
      <c r="E165" s="73"/>
      <c r="F165" s="29" t="s">
        <v>21</v>
      </c>
      <c r="G165" s="29">
        <v>6</v>
      </c>
      <c r="H165" s="29">
        <v>6</v>
      </c>
      <c r="I165" s="29">
        <v>6</v>
      </c>
      <c r="J165" s="29">
        <f t="shared" si="81"/>
        <v>20.8</v>
      </c>
      <c r="K165" s="29">
        <f t="shared" si="85"/>
        <v>38.799999999999997</v>
      </c>
      <c r="L165" s="29">
        <f t="shared" si="86"/>
        <v>40</v>
      </c>
      <c r="M165" s="78" t="str">
        <f t="shared" si="87"/>
        <v>M12x40-HDG-8.8</v>
      </c>
      <c r="N165" s="86">
        <f>C165</f>
        <v>50</v>
      </c>
      <c r="O165" s="86">
        <f>N165*1</f>
        <v>50</v>
      </c>
      <c r="P165" s="29">
        <v>1</v>
      </c>
      <c r="Q165" s="86">
        <f>N165*2</f>
        <v>100</v>
      </c>
      <c r="R165" s="29">
        <f t="shared" si="88"/>
        <v>0</v>
      </c>
      <c r="S165" s="83"/>
    </row>
    <row r="166" spans="1:20" x14ac:dyDescent="0.25">
      <c r="B166" s="79" t="s">
        <v>691</v>
      </c>
      <c r="C166" s="29">
        <v>1</v>
      </c>
      <c r="D166" s="29" t="s">
        <v>361</v>
      </c>
      <c r="E166" s="29"/>
      <c r="F166" s="73" t="s">
        <v>21</v>
      </c>
      <c r="G166" s="73">
        <v>10</v>
      </c>
      <c r="H166" s="73">
        <v>0</v>
      </c>
      <c r="I166" s="73">
        <v>10</v>
      </c>
      <c r="J166" s="29">
        <f t="shared" si="81"/>
        <v>20.8</v>
      </c>
      <c r="K166" s="29">
        <f t="shared" si="85"/>
        <v>40.799999999999997</v>
      </c>
      <c r="L166" s="29">
        <f t="shared" si="86"/>
        <v>50</v>
      </c>
      <c r="M166" s="78" t="str">
        <f t="shared" si="87"/>
        <v>M12x50-HDG-8.8</v>
      </c>
      <c r="N166" s="29">
        <f>C166*1</f>
        <v>1</v>
      </c>
      <c r="O166" s="29">
        <f>C166*1</f>
        <v>1</v>
      </c>
      <c r="P166" s="29">
        <v>0</v>
      </c>
      <c r="Q166" s="29">
        <f>C166*2</f>
        <v>2</v>
      </c>
      <c r="R166" s="29">
        <f t="shared" si="88"/>
        <v>0</v>
      </c>
    </row>
    <row r="167" spans="1:20" x14ac:dyDescent="0.25">
      <c r="B167" s="79" t="s">
        <v>692</v>
      </c>
      <c r="C167" s="29">
        <v>1</v>
      </c>
      <c r="D167" s="29" t="s">
        <v>361</v>
      </c>
      <c r="E167" s="29"/>
      <c r="F167" s="73" t="s">
        <v>23</v>
      </c>
      <c r="G167" s="73">
        <v>10</v>
      </c>
      <c r="H167" s="73">
        <v>0</v>
      </c>
      <c r="I167" s="73">
        <v>10</v>
      </c>
      <c r="J167" s="29">
        <f t="shared" si="81"/>
        <v>29</v>
      </c>
      <c r="K167" s="29">
        <f t="shared" si="85"/>
        <v>49</v>
      </c>
      <c r="L167" s="29">
        <f t="shared" si="86"/>
        <v>50</v>
      </c>
      <c r="M167" s="78" t="str">
        <f t="shared" si="87"/>
        <v>M20x50-HDG-8.8</v>
      </c>
      <c r="N167" s="29">
        <f>C167*1</f>
        <v>1</v>
      </c>
      <c r="O167" s="29">
        <f>C167*1</f>
        <v>1</v>
      </c>
      <c r="P167" s="29">
        <v>0</v>
      </c>
      <c r="Q167" s="29">
        <f>C167*2</f>
        <v>2</v>
      </c>
      <c r="R167" s="29">
        <f t="shared" si="88"/>
        <v>0</v>
      </c>
    </row>
    <row r="168" spans="1:20" x14ac:dyDescent="0.25">
      <c r="B168" s="79" t="s">
        <v>693</v>
      </c>
      <c r="C168" s="29">
        <v>1</v>
      </c>
      <c r="D168" s="29" t="s">
        <v>361</v>
      </c>
      <c r="E168" s="29"/>
      <c r="F168" s="73" t="s">
        <v>21</v>
      </c>
      <c r="G168" s="73">
        <v>10</v>
      </c>
      <c r="H168" s="73">
        <v>0</v>
      </c>
      <c r="I168" s="73">
        <v>10</v>
      </c>
      <c r="J168" s="29">
        <f t="shared" si="81"/>
        <v>20.8</v>
      </c>
      <c r="K168" s="29">
        <f t="shared" si="85"/>
        <v>40.799999999999997</v>
      </c>
      <c r="L168" s="29">
        <f t="shared" si="86"/>
        <v>50</v>
      </c>
      <c r="M168" s="78" t="str">
        <f t="shared" si="87"/>
        <v>M12x50-HDG-8.8</v>
      </c>
      <c r="N168" s="29">
        <f>C168*1</f>
        <v>1</v>
      </c>
      <c r="O168" s="29">
        <f>C168*1</f>
        <v>1</v>
      </c>
      <c r="P168" s="29">
        <v>0</v>
      </c>
      <c r="Q168" s="29">
        <f>C168*2</f>
        <v>2</v>
      </c>
      <c r="R168" s="29">
        <f t="shared" si="88"/>
        <v>0</v>
      </c>
    </row>
    <row r="169" spans="1:20" x14ac:dyDescent="0.25">
      <c r="B169" s="79" t="s">
        <v>694</v>
      </c>
      <c r="C169" s="29">
        <v>1</v>
      </c>
      <c r="D169" s="29" t="s">
        <v>361</v>
      </c>
      <c r="E169" s="29"/>
      <c r="F169" s="73" t="s">
        <v>22</v>
      </c>
      <c r="G169" s="73">
        <v>10</v>
      </c>
      <c r="H169" s="73">
        <v>0</v>
      </c>
      <c r="I169" s="73">
        <v>10</v>
      </c>
      <c r="J169" s="29">
        <f t="shared" si="81"/>
        <v>25.8</v>
      </c>
      <c r="K169" s="29">
        <f t="shared" si="85"/>
        <v>45.8</v>
      </c>
      <c r="L169" s="29">
        <f t="shared" si="86"/>
        <v>50</v>
      </c>
      <c r="M169" s="78" t="str">
        <f t="shared" si="87"/>
        <v>M16x50-HDG-8.8</v>
      </c>
      <c r="N169" s="29">
        <f>C169*1</f>
        <v>1</v>
      </c>
      <c r="O169" s="29">
        <f>C169*1</f>
        <v>1</v>
      </c>
      <c r="P169" s="29">
        <v>0</v>
      </c>
      <c r="Q169" s="29">
        <f>C169*2</f>
        <v>2</v>
      </c>
      <c r="R169" s="29">
        <f t="shared" si="88"/>
        <v>0</v>
      </c>
    </row>
    <row r="170" spans="1:20" x14ac:dyDescent="0.25">
      <c r="B170" s="79" t="s">
        <v>695</v>
      </c>
      <c r="C170" s="29">
        <v>1</v>
      </c>
      <c r="D170" s="29" t="s">
        <v>361</v>
      </c>
      <c r="E170" s="29"/>
      <c r="F170" s="73" t="s">
        <v>22</v>
      </c>
      <c r="G170" s="73">
        <v>10</v>
      </c>
      <c r="H170" s="73">
        <v>0</v>
      </c>
      <c r="I170" s="73">
        <v>10</v>
      </c>
      <c r="J170" s="29">
        <f t="shared" si="81"/>
        <v>25.8</v>
      </c>
      <c r="K170" s="29">
        <f t="shared" si="85"/>
        <v>45.8</v>
      </c>
      <c r="L170" s="29">
        <f t="shared" si="86"/>
        <v>50</v>
      </c>
      <c r="M170" s="78" t="str">
        <f t="shared" si="87"/>
        <v>M16x50-HDG-8.8</v>
      </c>
      <c r="N170" s="29">
        <f>C170*1</f>
        <v>1</v>
      </c>
      <c r="O170" s="29">
        <f>C170*1</f>
        <v>1</v>
      </c>
      <c r="P170" s="29">
        <v>0</v>
      </c>
      <c r="Q170" s="29">
        <f>C170*2</f>
        <v>2</v>
      </c>
      <c r="R170" s="29">
        <f t="shared" si="88"/>
        <v>0</v>
      </c>
    </row>
    <row r="171" spans="1:20" x14ac:dyDescent="0.25">
      <c r="C171" s="29"/>
      <c r="D171" s="29"/>
      <c r="E171" s="29"/>
      <c r="F171" s="73"/>
      <c r="G171" s="73"/>
      <c r="H171" s="73"/>
      <c r="I171" s="73"/>
      <c r="J171" s="29"/>
      <c r="K171" s="29"/>
      <c r="L171" s="29"/>
      <c r="M171" s="78"/>
      <c r="N171" s="29"/>
      <c r="O171" s="29"/>
      <c r="P171" s="29"/>
      <c r="Q171" s="29"/>
      <c r="R171" s="29"/>
    </row>
    <row r="172" spans="1:20" x14ac:dyDescent="0.25">
      <c r="A172" s="59"/>
      <c r="B172" s="128" t="s">
        <v>696</v>
      </c>
      <c r="C172" s="123"/>
      <c r="D172" s="125"/>
      <c r="E172" s="125"/>
      <c r="F172" s="123"/>
      <c r="G172" s="123"/>
      <c r="H172" s="123"/>
      <c r="I172" s="123"/>
      <c r="J172" s="146" t="str">
        <f t="shared" ref="J172:J206" si="89">IF(F172=$K$1,$K$2+2*$K$3+$K$5,
IF(F172=$L$1,$L$2+2*$L$3+$L$5,
IF(F172=$M$1,$M$2+2*$M$3+$M$5,
IF(F172=$N$1,$N$2+2*$N$3+$N$5,
IF(F172=$O$1,$O$2+2*$O$3+$O$5,
IF(F172=$P$1,$P$2+2*$P$3+$P$5,
IF(F172=$Q$1,$Q$2+2*$Q$3+$Q$5,
IF(F172=$R$1,$R$2+2*$R$3+$R$5,
IF(F172=$S$1,$S$2+2*$S$3+$S$5,"")))))))))</f>
        <v/>
      </c>
      <c r="K172" s="123"/>
      <c r="L172" s="123"/>
      <c r="M172" s="123"/>
      <c r="N172" s="123"/>
      <c r="O172" s="123"/>
      <c r="P172" s="123"/>
      <c r="Q172" s="123"/>
      <c r="R172" s="123"/>
      <c r="S172" s="126"/>
      <c r="T172" s="127"/>
    </row>
    <row r="173" spans="1:20" x14ac:dyDescent="0.25">
      <c r="B173" s="79" t="s">
        <v>680</v>
      </c>
      <c r="C173" s="73" t="s">
        <v>567</v>
      </c>
      <c r="D173" s="29" t="s">
        <v>561</v>
      </c>
      <c r="E173" s="73">
        <v>1</v>
      </c>
      <c r="F173" s="29" t="s">
        <v>21</v>
      </c>
      <c r="G173" s="29">
        <v>16</v>
      </c>
      <c r="H173" s="29">
        <v>0</v>
      </c>
      <c r="I173" s="29">
        <v>16</v>
      </c>
      <c r="J173" s="29">
        <f t="shared" si="89"/>
        <v>20.8</v>
      </c>
      <c r="K173" s="29">
        <f t="shared" ref="K173:K187" si="90">SUM(G173:J173)</f>
        <v>52.8</v>
      </c>
      <c r="L173" s="29">
        <f t="shared" ref="L173:L187" si="91">CEILING(K173, 10)</f>
        <v>60</v>
      </c>
      <c r="M173" s="78" t="str">
        <f>(CONCATENATE(F173,"-STUDx",L173,"-",IF(F173=$K$1,$C$4,IF(F173=$L$1,$C$4,IF(F173=$M$1,$C$4,IF(F173=$N$1,$C$4,IF(F173=$O$1,$C$4,IF(F173=$P$1,$C$5,IF(F173=$Q$1,$C$5,IF(F173=$R$1,$C$5,IF(F173=$S$1,$C$5,0)))))))))))</f>
        <v>M12-STUDx60-HDG-8.8</v>
      </c>
      <c r="N173" s="29">
        <f>0</f>
        <v>0</v>
      </c>
      <c r="O173" s="29">
        <f>IF(C173="ASM-1",16*E173,IF(C173="ASM-2",16*E173,IF(C173="ASM-3",20*E173,IF(C173="ASM-4",16*E173,IF(C173="ASM-5",20*E173,IF(C173="ASM-6",22*E173,IF(C173="ASM-7",20*E173,IF(C173="ASM-8",24*E173,IF(C173="ASM-9",26*E173,IF(C173="ASM-10",30*E173,IF(C173="ASM-11",32*E173,IF(C173="ASM-12",38*E173,IF(C173="ASM-13",28*E173,IF(C173="ASM-14",32*E173))))))))))))))</f>
        <v>28</v>
      </c>
      <c r="P173" s="29">
        <v>0</v>
      </c>
      <c r="Q173" s="29">
        <f>O173*1</f>
        <v>28</v>
      </c>
      <c r="R173" s="29">
        <f>O173*1</f>
        <v>28</v>
      </c>
    </row>
    <row r="174" spans="1:20" x14ac:dyDescent="0.25">
      <c r="B174" s="79" t="s">
        <v>681</v>
      </c>
      <c r="C174" s="73">
        <v>90</v>
      </c>
      <c r="D174" s="29" t="s">
        <v>361</v>
      </c>
      <c r="E174" s="29"/>
      <c r="F174" s="29" t="s">
        <v>21</v>
      </c>
      <c r="G174" s="29">
        <v>12</v>
      </c>
      <c r="H174" s="29">
        <v>8</v>
      </c>
      <c r="I174" s="29">
        <v>12</v>
      </c>
      <c r="J174" s="29">
        <f t="shared" si="89"/>
        <v>20.8</v>
      </c>
      <c r="K174" s="29">
        <f t="shared" si="90"/>
        <v>52.8</v>
      </c>
      <c r="L174" s="29">
        <f t="shared" si="91"/>
        <v>60</v>
      </c>
      <c r="M174" s="78" t="str">
        <f>(CONCATENATE(F174,"x",L174,"-",IF(F174=$K$1,$C$4,IF(F174=$L$1,$C$4,IF(F174=$M$1,$C$4,IF(F174=$N$1,$C$4,IF(F174=$O$1,$C$4,IF(F174=$P$1,$C$5,IF(F174=$Q$1,$C$5,IF(F174=$R$1,$C$5,IF(F174=$S$1,$C$5,0)))))))))))</f>
        <v>M12x60-HDG-8.8</v>
      </c>
      <c r="N174" s="29">
        <f>C174</f>
        <v>90</v>
      </c>
      <c r="O174" s="29">
        <f>N174</f>
        <v>90</v>
      </c>
      <c r="P174" s="29">
        <v>0</v>
      </c>
      <c r="Q174" s="29">
        <f>N174*2</f>
        <v>180</v>
      </c>
      <c r="R174" s="29">
        <f>O174*1</f>
        <v>90</v>
      </c>
    </row>
    <row r="175" spans="1:20" x14ac:dyDescent="0.25">
      <c r="B175" s="79" t="s">
        <v>682</v>
      </c>
      <c r="C175" s="73">
        <v>90</v>
      </c>
      <c r="D175" s="29" t="s">
        <v>361</v>
      </c>
      <c r="E175" s="29"/>
      <c r="F175" s="29" t="s">
        <v>21</v>
      </c>
      <c r="G175" s="29">
        <v>12</v>
      </c>
      <c r="H175" s="29">
        <v>8</v>
      </c>
      <c r="I175" s="29">
        <v>12</v>
      </c>
      <c r="J175" s="29">
        <f t="shared" si="89"/>
        <v>20.8</v>
      </c>
      <c r="K175" s="29">
        <f t="shared" si="90"/>
        <v>52.8</v>
      </c>
      <c r="L175" s="29">
        <f t="shared" si="91"/>
        <v>60</v>
      </c>
      <c r="M175" s="78" t="str">
        <f>(CONCATENATE(F175,"x",L175,"-",IF(F175=$K$1,$C$4,IF(F175=$L$1,$C$4,IF(F175=$M$1,$C$4,IF(F175=$N$1,$C$4,IF(F175=$O$1,$C$4,IF(F175=$P$1,$C$5,IF(F175=$Q$1,$C$5,IF(F175=$R$1,$C$5,IF(F175=$S$1,$C$5,0)))))))))))</f>
        <v>M12x60-HDG-8.8</v>
      </c>
      <c r="N175" s="29">
        <f>C175</f>
        <v>90</v>
      </c>
      <c r="O175" s="29">
        <f>N175</f>
        <v>90</v>
      </c>
      <c r="P175" s="29">
        <v>0</v>
      </c>
      <c r="Q175" s="29">
        <f>N175*2</f>
        <v>180</v>
      </c>
      <c r="R175" s="29">
        <f>O175*1</f>
        <v>90</v>
      </c>
    </row>
    <row r="176" spans="1:20" x14ac:dyDescent="0.25">
      <c r="B176" s="79" t="s">
        <v>683</v>
      </c>
      <c r="C176" s="73">
        <v>90</v>
      </c>
      <c r="D176" s="29" t="s">
        <v>361</v>
      </c>
      <c r="E176" s="29"/>
      <c r="F176" s="29" t="s">
        <v>21</v>
      </c>
      <c r="G176" s="29">
        <v>12</v>
      </c>
      <c r="H176" s="29">
        <v>8</v>
      </c>
      <c r="I176" s="29">
        <v>12</v>
      </c>
      <c r="J176" s="29">
        <f t="shared" si="89"/>
        <v>20.8</v>
      </c>
      <c r="K176" s="29">
        <f t="shared" si="90"/>
        <v>52.8</v>
      </c>
      <c r="L176" s="29">
        <f t="shared" si="91"/>
        <v>60</v>
      </c>
      <c r="M176" s="78" t="str">
        <f>(CONCATENATE(F176,"x",L176,"-",IF(F176=$K$1,$C$4,IF(F176=$L$1,$C$4,IF(F176=$M$1,$C$4,IF(F176=$N$1,$C$4,IF(F176=$O$1,$C$4,IF(F176=$P$1,$C$5,IF(F176=$Q$1,$C$5,IF(F176=$R$1,$C$5,IF(F176=$S$1,$C$5,0)))))))))))</f>
        <v>M12x60-HDG-8.8</v>
      </c>
      <c r="N176" s="29">
        <f>C176</f>
        <v>90</v>
      </c>
      <c r="O176" s="29">
        <f>N176</f>
        <v>90</v>
      </c>
      <c r="P176" s="29">
        <v>0</v>
      </c>
      <c r="Q176" s="29">
        <f>N176*2</f>
        <v>180</v>
      </c>
      <c r="R176" s="29">
        <f>O176*1</f>
        <v>90</v>
      </c>
    </row>
    <row r="177" spans="1:20" x14ac:dyDescent="0.25">
      <c r="B177" s="79" t="s">
        <v>684</v>
      </c>
      <c r="C177" s="73" t="s">
        <v>567</v>
      </c>
      <c r="D177" s="29" t="s">
        <v>561</v>
      </c>
      <c r="E177" s="73">
        <v>1</v>
      </c>
      <c r="F177" s="29" t="s">
        <v>21</v>
      </c>
      <c r="G177" s="29">
        <v>16</v>
      </c>
      <c r="H177" s="29">
        <v>0</v>
      </c>
      <c r="I177" s="29">
        <v>16</v>
      </c>
      <c r="J177" s="29">
        <f t="shared" si="89"/>
        <v>20.8</v>
      </c>
      <c r="K177" s="29">
        <f t="shared" si="90"/>
        <v>52.8</v>
      </c>
      <c r="L177" s="29">
        <f t="shared" si="91"/>
        <v>60</v>
      </c>
      <c r="M177" s="78" t="str">
        <f>(CONCATENATE(F177,"-STUDx",L177,"-",IF(F177=$K$1,$C$4,IF(F177=$L$1,$C$4,IF(F177=$M$1,$C$4,IF(F177=$N$1,$C$4,IF(F177=$O$1,$C$4,IF(F177=$P$1,$C$5,IF(F177=$Q$1,$C$5,IF(F177=$R$1,$C$5,IF(F177=$S$1,$C$5,0)))))))))))</f>
        <v>M12-STUDx60-HDG-8.8</v>
      </c>
      <c r="N177" s="29">
        <f>0</f>
        <v>0</v>
      </c>
      <c r="O177" s="29">
        <f>IF(C177="ASM-1",16*E177,IF(C177="ASM-2",16*E177,IF(C177="ASM-3",20*E177,IF(C177="ASM-4",16*E177,IF(C177="ASM-5",20*E177,IF(C177="ASM-6",22*E177,IF(C177="ASM-7",20*E177,IF(C177="ASM-8",24*E177,IF(C177="ASM-9",26*E177,IF(C177="ASM-10",30*E177,IF(C177="ASM-11",32*E177,IF(C177="ASM-12",38*E177,IF(C177="ASM-13",28*E177,IF(C177="ASM-14",32*E177))))))))))))))</f>
        <v>28</v>
      </c>
      <c r="P177" s="29">
        <v>0</v>
      </c>
      <c r="Q177" s="29">
        <f>O177*1</f>
        <v>28</v>
      </c>
      <c r="R177" s="29">
        <f>O177*1</f>
        <v>28</v>
      </c>
    </row>
    <row r="178" spans="1:20" x14ac:dyDescent="0.25">
      <c r="B178" s="79" t="s">
        <v>685</v>
      </c>
      <c r="C178" s="73" t="s">
        <v>532</v>
      </c>
      <c r="D178" s="29" t="s">
        <v>87</v>
      </c>
      <c r="E178" s="73">
        <v>3</v>
      </c>
      <c r="F178" s="29" t="s">
        <v>22</v>
      </c>
      <c r="G178" s="29">
        <v>12</v>
      </c>
      <c r="H178" s="29">
        <v>0</v>
      </c>
      <c r="I178" s="29">
        <v>16</v>
      </c>
      <c r="J178" s="29">
        <f t="shared" si="89"/>
        <v>25.8</v>
      </c>
      <c r="K178" s="29">
        <f t="shared" si="90"/>
        <v>53.8</v>
      </c>
      <c r="L178" s="29">
        <f t="shared" si="91"/>
        <v>60</v>
      </c>
      <c r="M178" s="78" t="str">
        <f t="shared" ref="M178:M187" si="92">(CONCATENATE(F178,"x",L178,"-",IF(F178=$K$1,$C$4,IF(F178=$L$1,$C$4,IF(F178=$M$1,$C$4,IF(F178=$N$1,$C$4,IF(F178=$O$1,$C$4,IF(F178=$P$1,$C$5,IF(F178=$Q$1,$C$5,IF(F178=$R$1,$C$5,IF(F178=$S$1,$C$5,0)))))))))))</f>
        <v>M16x60-HDG-8.8</v>
      </c>
      <c r="N178" s="86">
        <f>IF(C178="NO CT", 0, 4*E178)</f>
        <v>12</v>
      </c>
      <c r="O178" s="86">
        <f>N178*1</f>
        <v>12</v>
      </c>
      <c r="P178" s="29">
        <v>0</v>
      </c>
      <c r="Q178" s="86">
        <f>N178*2</f>
        <v>24</v>
      </c>
      <c r="R178" s="29">
        <f t="shared" ref="R178:R187" si="93">N178*0</f>
        <v>0</v>
      </c>
      <c r="S178" s="83" t="s">
        <v>533</v>
      </c>
    </row>
    <row r="179" spans="1:20" x14ac:dyDescent="0.25">
      <c r="B179" s="79" t="s">
        <v>686</v>
      </c>
      <c r="C179" s="73" t="s">
        <v>687</v>
      </c>
      <c r="D179" s="29" t="s">
        <v>87</v>
      </c>
      <c r="E179" s="73">
        <v>1</v>
      </c>
      <c r="F179" s="29" t="s">
        <v>21</v>
      </c>
      <c r="G179" s="29">
        <v>12</v>
      </c>
      <c r="H179" s="29">
        <v>0</v>
      </c>
      <c r="I179" s="29">
        <v>12</v>
      </c>
      <c r="J179" s="29">
        <f t="shared" si="89"/>
        <v>20.8</v>
      </c>
      <c r="K179" s="29">
        <f t="shared" si="90"/>
        <v>44.8</v>
      </c>
      <c r="L179" s="29">
        <f t="shared" si="91"/>
        <v>50</v>
      </c>
      <c r="M179" s="78" t="str">
        <f t="shared" si="92"/>
        <v>M12x50-HDG-8.8</v>
      </c>
      <c r="N179" s="86">
        <f>E179</f>
        <v>1</v>
      </c>
      <c r="O179" s="86">
        <f>N179*1</f>
        <v>1</v>
      </c>
      <c r="P179" s="29">
        <v>0</v>
      </c>
      <c r="Q179" s="86">
        <f>N179*2</f>
        <v>2</v>
      </c>
      <c r="R179" s="29">
        <f t="shared" si="93"/>
        <v>0</v>
      </c>
      <c r="S179" s="83"/>
    </row>
    <row r="180" spans="1:20" x14ac:dyDescent="0.25">
      <c r="B180" s="79" t="s">
        <v>688</v>
      </c>
      <c r="C180" s="73">
        <v>1</v>
      </c>
      <c r="D180" s="29" t="s">
        <v>87</v>
      </c>
      <c r="E180" s="73"/>
      <c r="F180" s="29" t="s">
        <v>22</v>
      </c>
      <c r="G180" s="29">
        <v>16</v>
      </c>
      <c r="H180" s="29">
        <v>0</v>
      </c>
      <c r="I180" s="29">
        <v>16</v>
      </c>
      <c r="J180" s="29">
        <f t="shared" si="89"/>
        <v>25.8</v>
      </c>
      <c r="K180" s="29">
        <f t="shared" si="90"/>
        <v>57.8</v>
      </c>
      <c r="L180" s="29">
        <f t="shared" si="91"/>
        <v>60</v>
      </c>
      <c r="M180" s="78" t="str">
        <f t="shared" si="92"/>
        <v>M16x60-HDG-8.8</v>
      </c>
      <c r="N180" s="86">
        <f>C180*8</f>
        <v>8</v>
      </c>
      <c r="O180" s="86">
        <f>N180*1</f>
        <v>8</v>
      </c>
      <c r="P180" s="29">
        <v>0</v>
      </c>
      <c r="Q180" s="86">
        <f>N180*2</f>
        <v>16</v>
      </c>
      <c r="R180" s="29">
        <f t="shared" si="93"/>
        <v>0</v>
      </c>
      <c r="S180" s="83"/>
    </row>
    <row r="181" spans="1:20" x14ac:dyDescent="0.25">
      <c r="B181" s="79" t="s">
        <v>689</v>
      </c>
      <c r="C181" s="73">
        <v>1</v>
      </c>
      <c r="D181" s="29" t="s">
        <v>87</v>
      </c>
      <c r="E181" s="73"/>
      <c r="F181" s="29" t="s">
        <v>22</v>
      </c>
      <c r="G181" s="29">
        <v>12</v>
      </c>
      <c r="H181" s="29">
        <v>0</v>
      </c>
      <c r="I181" s="29">
        <v>12</v>
      </c>
      <c r="J181" s="29">
        <f t="shared" si="89"/>
        <v>25.8</v>
      </c>
      <c r="K181" s="29">
        <f t="shared" si="90"/>
        <v>49.8</v>
      </c>
      <c r="L181" s="29">
        <f t="shared" si="91"/>
        <v>50</v>
      </c>
      <c r="M181" s="78" t="str">
        <f t="shared" si="92"/>
        <v>M16x50-HDG-8.8</v>
      </c>
      <c r="N181" s="86">
        <f>C181*2</f>
        <v>2</v>
      </c>
      <c r="O181" s="86">
        <f>N181*1</f>
        <v>2</v>
      </c>
      <c r="P181" s="29">
        <v>0</v>
      </c>
      <c r="Q181" s="86">
        <f>N181*2</f>
        <v>4</v>
      </c>
      <c r="R181" s="29">
        <f t="shared" si="93"/>
        <v>0</v>
      </c>
      <c r="S181" s="83"/>
    </row>
    <row r="182" spans="1:20" x14ac:dyDescent="0.25">
      <c r="B182" s="79" t="s">
        <v>690</v>
      </c>
      <c r="C182" s="73">
        <v>50</v>
      </c>
      <c r="D182" s="29" t="s">
        <v>87</v>
      </c>
      <c r="E182" s="73"/>
      <c r="F182" s="29" t="s">
        <v>21</v>
      </c>
      <c r="G182" s="29">
        <v>6</v>
      </c>
      <c r="H182" s="29">
        <v>6</v>
      </c>
      <c r="I182" s="29">
        <v>6</v>
      </c>
      <c r="J182" s="29">
        <f t="shared" si="89"/>
        <v>20.8</v>
      </c>
      <c r="K182" s="29">
        <f t="shared" si="90"/>
        <v>38.799999999999997</v>
      </c>
      <c r="L182" s="29">
        <f t="shared" si="91"/>
        <v>40</v>
      </c>
      <c r="M182" s="78" t="str">
        <f t="shared" si="92"/>
        <v>M12x40-HDG-8.8</v>
      </c>
      <c r="N182" s="86">
        <f>C182</f>
        <v>50</v>
      </c>
      <c r="O182" s="86">
        <f>N182*1</f>
        <v>50</v>
      </c>
      <c r="P182" s="29">
        <v>1</v>
      </c>
      <c r="Q182" s="86">
        <f>N182*2</f>
        <v>100</v>
      </c>
      <c r="R182" s="29">
        <f t="shared" si="93"/>
        <v>0</v>
      </c>
      <c r="S182" s="83"/>
    </row>
    <row r="183" spans="1:20" x14ac:dyDescent="0.25">
      <c r="B183" s="79" t="s">
        <v>691</v>
      </c>
      <c r="C183" s="29">
        <v>1</v>
      </c>
      <c r="D183" s="29" t="s">
        <v>361</v>
      </c>
      <c r="E183" s="29"/>
      <c r="F183" s="73" t="s">
        <v>21</v>
      </c>
      <c r="G183" s="73">
        <v>10</v>
      </c>
      <c r="H183" s="73">
        <v>0</v>
      </c>
      <c r="I183" s="73">
        <v>10</v>
      </c>
      <c r="J183" s="29">
        <f t="shared" si="89"/>
        <v>20.8</v>
      </c>
      <c r="K183" s="29">
        <f t="shared" si="90"/>
        <v>40.799999999999997</v>
      </c>
      <c r="L183" s="29">
        <f t="shared" si="91"/>
        <v>50</v>
      </c>
      <c r="M183" s="78" t="str">
        <f t="shared" si="92"/>
        <v>M12x50-HDG-8.8</v>
      </c>
      <c r="N183" s="29">
        <f>C183*1</f>
        <v>1</v>
      </c>
      <c r="O183" s="29">
        <f>C183*1</f>
        <v>1</v>
      </c>
      <c r="P183" s="29">
        <v>0</v>
      </c>
      <c r="Q183" s="29">
        <f>C183*2</f>
        <v>2</v>
      </c>
      <c r="R183" s="29">
        <f t="shared" si="93"/>
        <v>0</v>
      </c>
    </row>
    <row r="184" spans="1:20" x14ac:dyDescent="0.25">
      <c r="B184" s="79" t="s">
        <v>692</v>
      </c>
      <c r="C184" s="29">
        <v>1</v>
      </c>
      <c r="D184" s="29" t="s">
        <v>361</v>
      </c>
      <c r="E184" s="29"/>
      <c r="F184" s="73" t="s">
        <v>23</v>
      </c>
      <c r="G184" s="73">
        <v>10</v>
      </c>
      <c r="H184" s="73">
        <v>0</v>
      </c>
      <c r="I184" s="73">
        <v>10</v>
      </c>
      <c r="J184" s="29">
        <f t="shared" si="89"/>
        <v>29</v>
      </c>
      <c r="K184" s="29">
        <f t="shared" si="90"/>
        <v>49</v>
      </c>
      <c r="L184" s="29">
        <f t="shared" si="91"/>
        <v>50</v>
      </c>
      <c r="M184" s="78" t="str">
        <f t="shared" si="92"/>
        <v>M20x50-HDG-8.8</v>
      </c>
      <c r="N184" s="29">
        <f>C184*1</f>
        <v>1</v>
      </c>
      <c r="O184" s="29">
        <f>C184*1</f>
        <v>1</v>
      </c>
      <c r="P184" s="29">
        <v>0</v>
      </c>
      <c r="Q184" s="29">
        <f>C184*2</f>
        <v>2</v>
      </c>
      <c r="R184" s="29">
        <f t="shared" si="93"/>
        <v>0</v>
      </c>
    </row>
    <row r="185" spans="1:20" x14ac:dyDescent="0.25">
      <c r="B185" s="79" t="s">
        <v>693</v>
      </c>
      <c r="C185" s="29">
        <v>1</v>
      </c>
      <c r="D185" s="29" t="s">
        <v>361</v>
      </c>
      <c r="E185" s="29"/>
      <c r="F185" s="73" t="s">
        <v>21</v>
      </c>
      <c r="G185" s="73">
        <v>10</v>
      </c>
      <c r="H185" s="73">
        <v>0</v>
      </c>
      <c r="I185" s="73">
        <v>10</v>
      </c>
      <c r="J185" s="29">
        <f t="shared" si="89"/>
        <v>20.8</v>
      </c>
      <c r="K185" s="29">
        <f t="shared" si="90"/>
        <v>40.799999999999997</v>
      </c>
      <c r="L185" s="29">
        <f t="shared" si="91"/>
        <v>50</v>
      </c>
      <c r="M185" s="78" t="str">
        <f t="shared" si="92"/>
        <v>M12x50-HDG-8.8</v>
      </c>
      <c r="N185" s="29">
        <f>C185*1</f>
        <v>1</v>
      </c>
      <c r="O185" s="29">
        <f>C185*1</f>
        <v>1</v>
      </c>
      <c r="P185" s="29">
        <v>0</v>
      </c>
      <c r="Q185" s="29">
        <f>C185*2</f>
        <v>2</v>
      </c>
      <c r="R185" s="29">
        <f t="shared" si="93"/>
        <v>0</v>
      </c>
    </row>
    <row r="186" spans="1:20" x14ac:dyDescent="0.25">
      <c r="B186" s="79" t="s">
        <v>694</v>
      </c>
      <c r="C186" s="29">
        <v>1</v>
      </c>
      <c r="D186" s="29" t="s">
        <v>361</v>
      </c>
      <c r="E186" s="29"/>
      <c r="F186" s="73" t="s">
        <v>22</v>
      </c>
      <c r="G186" s="73">
        <v>10</v>
      </c>
      <c r="H186" s="73">
        <v>0</v>
      </c>
      <c r="I186" s="73">
        <v>10</v>
      </c>
      <c r="J186" s="29">
        <f t="shared" si="89"/>
        <v>25.8</v>
      </c>
      <c r="K186" s="29">
        <f t="shared" si="90"/>
        <v>45.8</v>
      </c>
      <c r="L186" s="29">
        <f t="shared" si="91"/>
        <v>50</v>
      </c>
      <c r="M186" s="78" t="str">
        <f t="shared" si="92"/>
        <v>M16x50-HDG-8.8</v>
      </c>
      <c r="N186" s="29">
        <f>C186*1</f>
        <v>1</v>
      </c>
      <c r="O186" s="29">
        <f>C186*1</f>
        <v>1</v>
      </c>
      <c r="P186" s="29">
        <v>0</v>
      </c>
      <c r="Q186" s="29">
        <f>C186*2</f>
        <v>2</v>
      </c>
      <c r="R186" s="29">
        <f t="shared" si="93"/>
        <v>0</v>
      </c>
    </row>
    <row r="187" spans="1:20" x14ac:dyDescent="0.25">
      <c r="B187" s="79" t="s">
        <v>695</v>
      </c>
      <c r="C187" s="29">
        <v>1</v>
      </c>
      <c r="D187" s="29" t="s">
        <v>361</v>
      </c>
      <c r="E187" s="29"/>
      <c r="F187" s="73" t="s">
        <v>22</v>
      </c>
      <c r="G187" s="73">
        <v>10</v>
      </c>
      <c r="H187" s="73">
        <v>0</v>
      </c>
      <c r="I187" s="73">
        <v>10</v>
      </c>
      <c r="J187" s="29">
        <f t="shared" si="89"/>
        <v>25.8</v>
      </c>
      <c r="K187" s="29">
        <f t="shared" si="90"/>
        <v>45.8</v>
      </c>
      <c r="L187" s="29">
        <f t="shared" si="91"/>
        <v>50</v>
      </c>
      <c r="M187" s="78" t="str">
        <f t="shared" si="92"/>
        <v>M16x50-HDG-8.8</v>
      </c>
      <c r="N187" s="29">
        <f>C187*1</f>
        <v>1</v>
      </c>
      <c r="O187" s="29">
        <f>C187*1</f>
        <v>1</v>
      </c>
      <c r="P187" s="29">
        <v>0</v>
      </c>
      <c r="Q187" s="29">
        <f>C187*2</f>
        <v>2</v>
      </c>
      <c r="R187" s="29">
        <f t="shared" si="93"/>
        <v>0</v>
      </c>
    </row>
    <row r="188" spans="1:20" x14ac:dyDescent="0.25">
      <c r="C188" s="29"/>
      <c r="D188" s="29"/>
      <c r="E188" s="29"/>
      <c r="F188" s="73"/>
      <c r="G188" s="73"/>
      <c r="H188" s="73"/>
      <c r="I188" s="73"/>
      <c r="J188" s="29" t="str">
        <f t="shared" si="89"/>
        <v/>
      </c>
      <c r="K188" s="29"/>
      <c r="L188" s="29"/>
      <c r="M188" s="78"/>
      <c r="N188" s="29"/>
      <c r="O188" s="29"/>
      <c r="P188" s="29"/>
      <c r="Q188" s="29"/>
      <c r="R188" s="29"/>
    </row>
    <row r="189" spans="1:20" x14ac:dyDescent="0.25">
      <c r="A189" s="59"/>
      <c r="B189" s="128" t="s">
        <v>391</v>
      </c>
      <c r="C189" s="123"/>
      <c r="D189" s="125"/>
      <c r="E189" s="125"/>
      <c r="F189" s="123"/>
      <c r="G189" s="123"/>
      <c r="H189" s="123"/>
      <c r="I189" s="123"/>
      <c r="J189" s="146" t="str">
        <f t="shared" si="89"/>
        <v/>
      </c>
      <c r="K189" s="123"/>
      <c r="L189" s="123"/>
      <c r="M189" s="123"/>
      <c r="N189" s="123"/>
      <c r="O189" s="123"/>
      <c r="P189" s="123"/>
      <c r="Q189" s="123"/>
      <c r="R189" s="123"/>
      <c r="S189" s="126"/>
      <c r="T189" s="127"/>
    </row>
    <row r="190" spans="1:20" x14ac:dyDescent="0.25">
      <c r="B190" s="79" t="s">
        <v>680</v>
      </c>
      <c r="C190" s="73" t="s">
        <v>567</v>
      </c>
      <c r="D190" s="29" t="s">
        <v>561</v>
      </c>
      <c r="E190" s="73">
        <v>1</v>
      </c>
      <c r="F190" s="29" t="s">
        <v>21</v>
      </c>
      <c r="G190" s="29">
        <v>16</v>
      </c>
      <c r="H190" s="29">
        <v>0</v>
      </c>
      <c r="I190" s="29">
        <v>16</v>
      </c>
      <c r="J190" s="29">
        <f t="shared" si="89"/>
        <v>20.8</v>
      </c>
      <c r="K190" s="29">
        <f t="shared" ref="K190:K204" si="94">SUM(G190:J190)</f>
        <v>52.8</v>
      </c>
      <c r="L190" s="29">
        <f t="shared" ref="L190:L204" si="95">CEILING(K190, 10)</f>
        <v>60</v>
      </c>
      <c r="M190" s="78" t="str">
        <f>(CONCATENATE(F190,"-STUDx",L190,"-",IF(F190=$K$1,$C$4,IF(F190=$L$1,$C$4,IF(F190=$M$1,$C$4,IF(F190=$N$1,$C$4,IF(F190=$O$1,$C$4,IF(F190=$P$1,$C$5,IF(F190=$Q$1,$C$5,IF(F190=$R$1,$C$5,IF(F190=$S$1,$C$5,0)))))))))))</f>
        <v>M12-STUDx60-HDG-8.8</v>
      </c>
      <c r="N190" s="29">
        <f>0</f>
        <v>0</v>
      </c>
      <c r="O190" s="29">
        <f>IF(C190="ASM-1",16*E190,IF(C190="ASM-2",16*E190,IF(C190="ASM-3",20*E190,IF(C190="ASM-4",16*E190,IF(C190="ASM-5",20*E190,IF(C190="ASM-6",22*E190,IF(C190="ASM-7",20*E190,IF(C190="ASM-8",24*E190,IF(C190="ASM-9",26*E190,IF(C190="ASM-10",30*E190,IF(C190="ASM-11",32*E190,IF(C190="ASM-12",38*E190,IF(C190="ASM-13",28*E190,IF(C190="ASM-14",32*E190))))))))))))))</f>
        <v>28</v>
      </c>
      <c r="P190" s="29">
        <v>0</v>
      </c>
      <c r="Q190" s="29">
        <f>O190*1</f>
        <v>28</v>
      </c>
      <c r="R190" s="29">
        <f>O190*1</f>
        <v>28</v>
      </c>
    </row>
    <row r="191" spans="1:20" x14ac:dyDescent="0.25">
      <c r="B191" s="79" t="s">
        <v>681</v>
      </c>
      <c r="C191" s="73">
        <v>90</v>
      </c>
      <c r="D191" s="29" t="s">
        <v>361</v>
      </c>
      <c r="E191" s="29"/>
      <c r="F191" s="29" t="s">
        <v>21</v>
      </c>
      <c r="G191" s="29">
        <v>12</v>
      </c>
      <c r="H191" s="29">
        <v>8</v>
      </c>
      <c r="I191" s="29">
        <v>12</v>
      </c>
      <c r="J191" s="29">
        <f t="shared" si="89"/>
        <v>20.8</v>
      </c>
      <c r="K191" s="29">
        <f t="shared" si="94"/>
        <v>52.8</v>
      </c>
      <c r="L191" s="29">
        <f t="shared" si="95"/>
        <v>60</v>
      </c>
      <c r="M191" s="78" t="str">
        <f>(CONCATENATE(F191,"x",L191,"-",IF(F191=$K$1,$C$4,IF(F191=$L$1,$C$4,IF(F191=$M$1,$C$4,IF(F191=$N$1,$C$4,IF(F191=$O$1,$C$4,IF(F191=$P$1,$C$5,IF(F191=$Q$1,$C$5,IF(F191=$R$1,$C$5,IF(F191=$S$1,$C$5,0)))))))))))</f>
        <v>M12x60-HDG-8.8</v>
      </c>
      <c r="N191" s="29">
        <f>C191</f>
        <v>90</v>
      </c>
      <c r="O191" s="29">
        <f>N191</f>
        <v>90</v>
      </c>
      <c r="P191" s="29">
        <v>0</v>
      </c>
      <c r="Q191" s="29">
        <f>N191*2</f>
        <v>180</v>
      </c>
      <c r="R191" s="29">
        <f>O191*1</f>
        <v>90</v>
      </c>
    </row>
    <row r="192" spans="1:20" x14ac:dyDescent="0.25">
      <c r="B192" s="79" t="s">
        <v>682</v>
      </c>
      <c r="C192" s="73">
        <v>90</v>
      </c>
      <c r="D192" s="29" t="s">
        <v>361</v>
      </c>
      <c r="E192" s="29"/>
      <c r="F192" s="29" t="s">
        <v>21</v>
      </c>
      <c r="G192" s="29">
        <v>12</v>
      </c>
      <c r="H192" s="29">
        <v>8</v>
      </c>
      <c r="I192" s="29">
        <v>12</v>
      </c>
      <c r="J192" s="29">
        <f t="shared" si="89"/>
        <v>20.8</v>
      </c>
      <c r="K192" s="29">
        <f t="shared" si="94"/>
        <v>52.8</v>
      </c>
      <c r="L192" s="29">
        <f t="shared" si="95"/>
        <v>60</v>
      </c>
      <c r="M192" s="78" t="str">
        <f>(CONCATENATE(F192,"x",L192,"-",IF(F192=$K$1,$C$4,IF(F192=$L$1,$C$4,IF(F192=$M$1,$C$4,IF(F192=$N$1,$C$4,IF(F192=$O$1,$C$4,IF(F192=$P$1,$C$5,IF(F192=$Q$1,$C$5,IF(F192=$R$1,$C$5,IF(F192=$S$1,$C$5,0)))))))))))</f>
        <v>M12x60-HDG-8.8</v>
      </c>
      <c r="N192" s="29">
        <f>C192</f>
        <v>90</v>
      </c>
      <c r="O192" s="29">
        <f>N192</f>
        <v>90</v>
      </c>
      <c r="P192" s="29">
        <v>0</v>
      </c>
      <c r="Q192" s="29">
        <f>N192*2</f>
        <v>180</v>
      </c>
      <c r="R192" s="29">
        <f>O192*1</f>
        <v>90</v>
      </c>
    </row>
    <row r="193" spans="1:20" x14ac:dyDescent="0.25">
      <c r="B193" s="79" t="s">
        <v>683</v>
      </c>
      <c r="C193" s="73">
        <v>90</v>
      </c>
      <c r="D193" s="29" t="s">
        <v>361</v>
      </c>
      <c r="E193" s="29"/>
      <c r="F193" s="29" t="s">
        <v>21</v>
      </c>
      <c r="G193" s="29">
        <v>12</v>
      </c>
      <c r="H193" s="29">
        <v>8</v>
      </c>
      <c r="I193" s="29">
        <v>12</v>
      </c>
      <c r="J193" s="29">
        <f t="shared" si="89"/>
        <v>20.8</v>
      </c>
      <c r="K193" s="29">
        <f t="shared" si="94"/>
        <v>52.8</v>
      </c>
      <c r="L193" s="29">
        <f t="shared" si="95"/>
        <v>60</v>
      </c>
      <c r="M193" s="78" t="str">
        <f>(CONCATENATE(F193,"x",L193,"-",IF(F193=$K$1,$C$4,IF(F193=$L$1,$C$4,IF(F193=$M$1,$C$4,IF(F193=$N$1,$C$4,IF(F193=$O$1,$C$4,IF(F193=$P$1,$C$5,IF(F193=$Q$1,$C$5,IF(F193=$R$1,$C$5,IF(F193=$S$1,$C$5,0)))))))))))</f>
        <v>M12x60-HDG-8.8</v>
      </c>
      <c r="N193" s="29">
        <f>C193</f>
        <v>90</v>
      </c>
      <c r="O193" s="29">
        <f>N193</f>
        <v>90</v>
      </c>
      <c r="P193" s="29">
        <v>0</v>
      </c>
      <c r="Q193" s="29">
        <f>N193*2</f>
        <v>180</v>
      </c>
      <c r="R193" s="29">
        <f>O193*1</f>
        <v>90</v>
      </c>
    </row>
    <row r="194" spans="1:20" x14ac:dyDescent="0.25">
      <c r="B194" s="79" t="s">
        <v>684</v>
      </c>
      <c r="C194" s="73" t="s">
        <v>567</v>
      </c>
      <c r="D194" s="29" t="s">
        <v>561</v>
      </c>
      <c r="E194" s="73">
        <v>1</v>
      </c>
      <c r="F194" s="29" t="s">
        <v>21</v>
      </c>
      <c r="G194" s="29">
        <v>16</v>
      </c>
      <c r="H194" s="29">
        <v>0</v>
      </c>
      <c r="I194" s="29">
        <v>16</v>
      </c>
      <c r="J194" s="29">
        <f t="shared" si="89"/>
        <v>20.8</v>
      </c>
      <c r="K194" s="29">
        <f t="shared" si="94"/>
        <v>52.8</v>
      </c>
      <c r="L194" s="29">
        <f t="shared" si="95"/>
        <v>60</v>
      </c>
      <c r="M194" s="78" t="str">
        <f>(CONCATENATE(F194,"-STUDx",L194,"-",IF(F194=$K$1,$C$4,IF(F194=$L$1,$C$4,IF(F194=$M$1,$C$4,IF(F194=$N$1,$C$4,IF(F194=$O$1,$C$4,IF(F194=$P$1,$C$5,IF(F194=$Q$1,$C$5,IF(F194=$R$1,$C$5,IF(F194=$S$1,$C$5,0)))))))))))</f>
        <v>M12-STUDx60-HDG-8.8</v>
      </c>
      <c r="N194" s="29">
        <f>0</f>
        <v>0</v>
      </c>
      <c r="O194" s="29">
        <f>IF(C194="ASM-1",16*E194,IF(C194="ASM-2",16*E194,IF(C194="ASM-3",20*E194,IF(C194="ASM-4",16*E194,IF(C194="ASM-5",20*E194,IF(C194="ASM-6",22*E194,IF(C194="ASM-7",20*E194,IF(C194="ASM-8",24*E194,IF(C194="ASM-9",26*E194,IF(C194="ASM-10",30*E194,IF(C194="ASM-11",32*E194,IF(C194="ASM-12",38*E194,IF(C194="ASM-13",28*E194,IF(C194="ASM-14",32*E194))))))))))))))</f>
        <v>28</v>
      </c>
      <c r="P194" s="29">
        <v>0</v>
      </c>
      <c r="Q194" s="29">
        <f>O194*1</f>
        <v>28</v>
      </c>
      <c r="R194" s="29">
        <f>O194*1</f>
        <v>28</v>
      </c>
    </row>
    <row r="195" spans="1:20" x14ac:dyDescent="0.25">
      <c r="B195" s="79" t="s">
        <v>685</v>
      </c>
      <c r="C195" s="73" t="s">
        <v>532</v>
      </c>
      <c r="D195" s="29" t="s">
        <v>87</v>
      </c>
      <c r="E195" s="73">
        <v>3</v>
      </c>
      <c r="F195" s="29" t="s">
        <v>22</v>
      </c>
      <c r="G195" s="29">
        <v>12</v>
      </c>
      <c r="H195" s="29">
        <v>0</v>
      </c>
      <c r="I195" s="29">
        <v>16</v>
      </c>
      <c r="J195" s="29">
        <f t="shared" si="89"/>
        <v>25.8</v>
      </c>
      <c r="K195" s="29">
        <f t="shared" si="94"/>
        <v>53.8</v>
      </c>
      <c r="L195" s="29">
        <f t="shared" si="95"/>
        <v>60</v>
      </c>
      <c r="M195" s="78" t="str">
        <f t="shared" ref="M195:M204" si="96">(CONCATENATE(F195,"x",L195,"-",IF(F195=$K$1,$C$4,IF(F195=$L$1,$C$4,IF(F195=$M$1,$C$4,IF(F195=$N$1,$C$4,IF(F195=$O$1,$C$4,IF(F195=$P$1,$C$5,IF(F195=$Q$1,$C$5,IF(F195=$R$1,$C$5,IF(F195=$S$1,$C$5,0)))))))))))</f>
        <v>M16x60-HDG-8.8</v>
      </c>
      <c r="N195" s="86">
        <f>IF(C195="NO CT", 0, 4*E195)</f>
        <v>12</v>
      </c>
      <c r="O195" s="86">
        <f>N195*1</f>
        <v>12</v>
      </c>
      <c r="P195" s="29">
        <v>0</v>
      </c>
      <c r="Q195" s="86">
        <f>N195*2</f>
        <v>24</v>
      </c>
      <c r="R195" s="29">
        <f t="shared" ref="R195:R204" si="97">N195*0</f>
        <v>0</v>
      </c>
      <c r="S195" s="83" t="s">
        <v>533</v>
      </c>
    </row>
    <row r="196" spans="1:20" x14ac:dyDescent="0.25">
      <c r="B196" s="79" t="s">
        <v>686</v>
      </c>
      <c r="C196" s="73" t="s">
        <v>687</v>
      </c>
      <c r="D196" s="29" t="s">
        <v>87</v>
      </c>
      <c r="E196" s="73">
        <v>1</v>
      </c>
      <c r="F196" s="29" t="s">
        <v>21</v>
      </c>
      <c r="G196" s="29">
        <v>12</v>
      </c>
      <c r="H196" s="29">
        <v>0</v>
      </c>
      <c r="I196" s="29">
        <v>12</v>
      </c>
      <c r="J196" s="29">
        <f t="shared" si="89"/>
        <v>20.8</v>
      </c>
      <c r="K196" s="29">
        <f t="shared" si="94"/>
        <v>44.8</v>
      </c>
      <c r="L196" s="29">
        <f t="shared" si="95"/>
        <v>50</v>
      </c>
      <c r="M196" s="78" t="str">
        <f t="shared" si="96"/>
        <v>M12x50-HDG-8.8</v>
      </c>
      <c r="N196" s="86">
        <f>E196</f>
        <v>1</v>
      </c>
      <c r="O196" s="86">
        <f>N196*1</f>
        <v>1</v>
      </c>
      <c r="P196" s="29">
        <v>0</v>
      </c>
      <c r="Q196" s="86">
        <f>N196*2</f>
        <v>2</v>
      </c>
      <c r="R196" s="29">
        <f t="shared" si="97"/>
        <v>0</v>
      </c>
      <c r="S196" s="83"/>
    </row>
    <row r="197" spans="1:20" x14ac:dyDescent="0.25">
      <c r="B197" s="79" t="s">
        <v>688</v>
      </c>
      <c r="C197" s="73">
        <v>1</v>
      </c>
      <c r="D197" s="29" t="s">
        <v>87</v>
      </c>
      <c r="E197" s="73"/>
      <c r="F197" s="29" t="s">
        <v>22</v>
      </c>
      <c r="G197" s="29">
        <v>16</v>
      </c>
      <c r="H197" s="29">
        <v>0</v>
      </c>
      <c r="I197" s="29">
        <v>16</v>
      </c>
      <c r="J197" s="29">
        <f t="shared" si="89"/>
        <v>25.8</v>
      </c>
      <c r="K197" s="29">
        <f t="shared" si="94"/>
        <v>57.8</v>
      </c>
      <c r="L197" s="29">
        <f t="shared" si="95"/>
        <v>60</v>
      </c>
      <c r="M197" s="78" t="str">
        <f t="shared" si="96"/>
        <v>M16x60-HDG-8.8</v>
      </c>
      <c r="N197" s="86">
        <f>C197*8</f>
        <v>8</v>
      </c>
      <c r="O197" s="86">
        <f>N197*1</f>
        <v>8</v>
      </c>
      <c r="P197" s="29">
        <v>0</v>
      </c>
      <c r="Q197" s="86">
        <f>N197*2</f>
        <v>16</v>
      </c>
      <c r="R197" s="29">
        <f t="shared" si="97"/>
        <v>0</v>
      </c>
      <c r="S197" s="83"/>
    </row>
    <row r="198" spans="1:20" x14ac:dyDescent="0.25">
      <c r="B198" s="79" t="s">
        <v>689</v>
      </c>
      <c r="C198" s="73">
        <v>1</v>
      </c>
      <c r="D198" s="29" t="s">
        <v>87</v>
      </c>
      <c r="E198" s="73"/>
      <c r="F198" s="29" t="s">
        <v>22</v>
      </c>
      <c r="G198" s="29">
        <v>12</v>
      </c>
      <c r="H198" s="29">
        <v>0</v>
      </c>
      <c r="I198" s="29">
        <v>12</v>
      </c>
      <c r="J198" s="29">
        <f t="shared" si="89"/>
        <v>25.8</v>
      </c>
      <c r="K198" s="29">
        <f t="shared" si="94"/>
        <v>49.8</v>
      </c>
      <c r="L198" s="29">
        <f t="shared" si="95"/>
        <v>50</v>
      </c>
      <c r="M198" s="78" t="str">
        <f t="shared" si="96"/>
        <v>M16x50-HDG-8.8</v>
      </c>
      <c r="N198" s="86">
        <f>C198*2</f>
        <v>2</v>
      </c>
      <c r="O198" s="86">
        <f>N198*1</f>
        <v>2</v>
      </c>
      <c r="P198" s="29">
        <v>0</v>
      </c>
      <c r="Q198" s="86">
        <f>N198*2</f>
        <v>4</v>
      </c>
      <c r="R198" s="29">
        <f t="shared" si="97"/>
        <v>0</v>
      </c>
      <c r="S198" s="83"/>
    </row>
    <row r="199" spans="1:20" x14ac:dyDescent="0.25">
      <c r="B199" s="79" t="s">
        <v>690</v>
      </c>
      <c r="C199" s="73">
        <v>50</v>
      </c>
      <c r="D199" s="29" t="s">
        <v>87</v>
      </c>
      <c r="E199" s="73"/>
      <c r="F199" s="29" t="s">
        <v>21</v>
      </c>
      <c r="G199" s="29">
        <v>6</v>
      </c>
      <c r="H199" s="29">
        <v>6</v>
      </c>
      <c r="I199" s="29">
        <v>6</v>
      </c>
      <c r="J199" s="29">
        <f t="shared" si="89"/>
        <v>20.8</v>
      </c>
      <c r="K199" s="29">
        <f t="shared" si="94"/>
        <v>38.799999999999997</v>
      </c>
      <c r="L199" s="29">
        <f t="shared" si="95"/>
        <v>40</v>
      </c>
      <c r="M199" s="78" t="str">
        <f t="shared" si="96"/>
        <v>M12x40-HDG-8.8</v>
      </c>
      <c r="N199" s="86">
        <f>C199</f>
        <v>50</v>
      </c>
      <c r="O199" s="86">
        <f>N199*1</f>
        <v>50</v>
      </c>
      <c r="P199" s="29">
        <v>1</v>
      </c>
      <c r="Q199" s="86">
        <f>N199*2</f>
        <v>100</v>
      </c>
      <c r="R199" s="29">
        <f t="shared" si="97"/>
        <v>0</v>
      </c>
      <c r="S199" s="83"/>
    </row>
    <row r="200" spans="1:20" x14ac:dyDescent="0.25">
      <c r="B200" s="79" t="s">
        <v>691</v>
      </c>
      <c r="C200" s="29">
        <v>1</v>
      </c>
      <c r="D200" s="29" t="s">
        <v>361</v>
      </c>
      <c r="E200" s="29"/>
      <c r="F200" s="73" t="s">
        <v>21</v>
      </c>
      <c r="G200" s="73">
        <v>10</v>
      </c>
      <c r="H200" s="73">
        <v>0</v>
      </c>
      <c r="I200" s="73">
        <v>10</v>
      </c>
      <c r="J200" s="29">
        <f t="shared" si="89"/>
        <v>20.8</v>
      </c>
      <c r="K200" s="29">
        <f t="shared" si="94"/>
        <v>40.799999999999997</v>
      </c>
      <c r="L200" s="29">
        <f t="shared" si="95"/>
        <v>50</v>
      </c>
      <c r="M200" s="78" t="str">
        <f t="shared" si="96"/>
        <v>M12x50-HDG-8.8</v>
      </c>
      <c r="N200" s="29">
        <f>C200*1</f>
        <v>1</v>
      </c>
      <c r="O200" s="29">
        <f>C200*1</f>
        <v>1</v>
      </c>
      <c r="P200" s="29">
        <v>0</v>
      </c>
      <c r="Q200" s="29">
        <f>C200*2</f>
        <v>2</v>
      </c>
      <c r="R200" s="29">
        <f t="shared" si="97"/>
        <v>0</v>
      </c>
    </row>
    <row r="201" spans="1:20" x14ac:dyDescent="0.25">
      <c r="B201" s="79" t="s">
        <v>692</v>
      </c>
      <c r="C201" s="29">
        <v>1</v>
      </c>
      <c r="D201" s="29" t="s">
        <v>361</v>
      </c>
      <c r="E201" s="29"/>
      <c r="F201" s="73" t="s">
        <v>23</v>
      </c>
      <c r="G201" s="73">
        <v>10</v>
      </c>
      <c r="H201" s="73">
        <v>0</v>
      </c>
      <c r="I201" s="73">
        <v>10</v>
      </c>
      <c r="J201" s="29">
        <f t="shared" si="89"/>
        <v>29</v>
      </c>
      <c r="K201" s="29">
        <f t="shared" si="94"/>
        <v>49</v>
      </c>
      <c r="L201" s="29">
        <f t="shared" si="95"/>
        <v>50</v>
      </c>
      <c r="M201" s="78" t="str">
        <f t="shared" si="96"/>
        <v>M20x50-HDG-8.8</v>
      </c>
      <c r="N201" s="29">
        <f>C201*1</f>
        <v>1</v>
      </c>
      <c r="O201" s="29">
        <f>C201*1</f>
        <v>1</v>
      </c>
      <c r="P201" s="29">
        <v>0</v>
      </c>
      <c r="Q201" s="29">
        <f>C201*2</f>
        <v>2</v>
      </c>
      <c r="R201" s="29">
        <f t="shared" si="97"/>
        <v>0</v>
      </c>
    </row>
    <row r="202" spans="1:20" x14ac:dyDescent="0.25">
      <c r="B202" s="79" t="s">
        <v>693</v>
      </c>
      <c r="C202" s="29">
        <v>1</v>
      </c>
      <c r="D202" s="29" t="s">
        <v>361</v>
      </c>
      <c r="E202" s="29"/>
      <c r="F202" s="73" t="s">
        <v>21</v>
      </c>
      <c r="G202" s="73">
        <v>10</v>
      </c>
      <c r="H202" s="73">
        <v>0</v>
      </c>
      <c r="I202" s="73">
        <v>10</v>
      </c>
      <c r="J202" s="29">
        <f t="shared" si="89"/>
        <v>20.8</v>
      </c>
      <c r="K202" s="29">
        <f t="shared" si="94"/>
        <v>40.799999999999997</v>
      </c>
      <c r="L202" s="29">
        <f t="shared" si="95"/>
        <v>50</v>
      </c>
      <c r="M202" s="78" t="str">
        <f t="shared" si="96"/>
        <v>M12x50-HDG-8.8</v>
      </c>
      <c r="N202" s="29">
        <f>C202*1</f>
        <v>1</v>
      </c>
      <c r="O202" s="29">
        <f>C202*1</f>
        <v>1</v>
      </c>
      <c r="P202" s="29">
        <v>0</v>
      </c>
      <c r="Q202" s="29">
        <f>C202*2</f>
        <v>2</v>
      </c>
      <c r="R202" s="29">
        <f t="shared" si="97"/>
        <v>0</v>
      </c>
    </row>
    <row r="203" spans="1:20" x14ac:dyDescent="0.25">
      <c r="B203" s="79" t="s">
        <v>694</v>
      </c>
      <c r="C203" s="29">
        <v>1</v>
      </c>
      <c r="D203" s="29" t="s">
        <v>361</v>
      </c>
      <c r="E203" s="29"/>
      <c r="F203" s="73" t="s">
        <v>22</v>
      </c>
      <c r="G203" s="73">
        <v>10</v>
      </c>
      <c r="H203" s="73">
        <v>0</v>
      </c>
      <c r="I203" s="73">
        <v>10</v>
      </c>
      <c r="J203" s="29">
        <f t="shared" si="89"/>
        <v>25.8</v>
      </c>
      <c r="K203" s="29">
        <f t="shared" si="94"/>
        <v>45.8</v>
      </c>
      <c r="L203" s="29">
        <f t="shared" si="95"/>
        <v>50</v>
      </c>
      <c r="M203" s="78" t="str">
        <f t="shared" si="96"/>
        <v>M16x50-HDG-8.8</v>
      </c>
      <c r="N203" s="29">
        <f>C203*1</f>
        <v>1</v>
      </c>
      <c r="O203" s="29">
        <f>C203*1</f>
        <v>1</v>
      </c>
      <c r="P203" s="29">
        <v>0</v>
      </c>
      <c r="Q203" s="29">
        <f>C203*2</f>
        <v>2</v>
      </c>
      <c r="R203" s="29">
        <f t="shared" si="97"/>
        <v>0</v>
      </c>
    </row>
    <row r="204" spans="1:20" x14ac:dyDescent="0.25">
      <c r="B204" s="79" t="s">
        <v>695</v>
      </c>
      <c r="C204" s="29">
        <v>1</v>
      </c>
      <c r="D204" s="29" t="s">
        <v>361</v>
      </c>
      <c r="E204" s="29"/>
      <c r="F204" s="73" t="s">
        <v>22</v>
      </c>
      <c r="G204" s="73">
        <v>10</v>
      </c>
      <c r="H204" s="73">
        <v>0</v>
      </c>
      <c r="I204" s="73">
        <v>10</v>
      </c>
      <c r="J204" s="29">
        <f t="shared" si="89"/>
        <v>25.8</v>
      </c>
      <c r="K204" s="29">
        <f t="shared" si="94"/>
        <v>45.8</v>
      </c>
      <c r="L204" s="29">
        <f t="shared" si="95"/>
        <v>50</v>
      </c>
      <c r="M204" s="78" t="str">
        <f t="shared" si="96"/>
        <v>M16x50-HDG-8.8</v>
      </c>
      <c r="N204" s="29">
        <f>C204*1</f>
        <v>1</v>
      </c>
      <c r="O204" s="29">
        <f>C204*1</f>
        <v>1</v>
      </c>
      <c r="P204" s="29">
        <v>0</v>
      </c>
      <c r="Q204" s="29">
        <f>C204*2</f>
        <v>2</v>
      </c>
      <c r="R204" s="29">
        <f t="shared" si="97"/>
        <v>0</v>
      </c>
    </row>
    <row r="205" spans="1:20" x14ac:dyDescent="0.25">
      <c r="C205" s="3"/>
      <c r="F205" s="3"/>
      <c r="G205" s="3"/>
      <c r="H205" s="3"/>
      <c r="I205" s="3"/>
      <c r="J205" s="29" t="str">
        <f t="shared" si="89"/>
        <v/>
      </c>
      <c r="K205" s="3"/>
      <c r="L205" s="3"/>
      <c r="M205" s="78"/>
    </row>
    <row r="206" spans="1:20" x14ac:dyDescent="0.25">
      <c r="A206" s="59"/>
      <c r="B206" s="128" t="s">
        <v>392</v>
      </c>
      <c r="C206" s="123"/>
      <c r="D206" s="125"/>
      <c r="E206" s="125"/>
      <c r="F206" s="123"/>
      <c r="G206" s="123"/>
      <c r="H206" s="123"/>
      <c r="I206" s="123"/>
      <c r="J206" s="146" t="str">
        <f t="shared" si="89"/>
        <v/>
      </c>
      <c r="K206" s="123"/>
      <c r="L206" s="123"/>
      <c r="M206" s="123"/>
      <c r="N206" s="123"/>
      <c r="O206" s="123"/>
      <c r="P206" s="123"/>
      <c r="Q206" s="123"/>
      <c r="R206" s="123"/>
      <c r="S206" s="126"/>
      <c r="T206" s="127"/>
    </row>
    <row r="207" spans="1:20" x14ac:dyDescent="0.25">
      <c r="B207" t="s">
        <v>697</v>
      </c>
      <c r="C207" s="29">
        <v>1</v>
      </c>
      <c r="D207" s="29" t="s">
        <v>361</v>
      </c>
      <c r="E207" s="29"/>
      <c r="F207" s="73" t="s">
        <v>22</v>
      </c>
      <c r="G207" s="73">
        <v>10</v>
      </c>
      <c r="H207" s="73">
        <v>45</v>
      </c>
      <c r="I207" s="73">
        <v>10</v>
      </c>
      <c r="J207" s="29">
        <f>IF(F207=$K$1,$K$2*3+$K$3+$K$5,
IF(F207=$L$1,$L$2*3+$L$3+$L$5,
IF(F207=$M$1,$M$2*3+$M$3+$M$5,
IF(F207=$N$1,$N$2*3+$N$3+$N$5,
IF(F207=$O$1,$O$2*3+$O$3+$O$5,
IF(F207=$P$1,$P$2*3+$P$3+$P$5,
IF(F207=$Q$1,$Q$2*3+$Q$3+$Q$5,
IF(F207=$R$1,$R$2*3+$R$3+$R$5,
IF(F207=$S$1,$S$2*3+$S$3+$S$5,"")))))))))</f>
        <v>52.400000000000006</v>
      </c>
      <c r="K207" s="29">
        <f t="shared" ref="K207:K223" si="98">SUM(G207:J207)</f>
        <v>117.4</v>
      </c>
      <c r="L207" s="29">
        <f t="shared" ref="L207:L223" si="99">CEILING(K207, 10)</f>
        <v>120</v>
      </c>
      <c r="M207" s="78" t="str">
        <f t="shared" ref="M207:M222" si="100">(CONCATENATE(F207,"x",L207,"-",IF(F207=$K$1,$C$4,IF(F207=$L$1,$C$4,IF(F207=$M$1,$C$4,IF(F207=$N$1,$C$4,IF(F207=$O$1,$C$4,IF(F207=$P$1,$C$5,IF(F207=$Q$1,$C$5,IF(F207=$R$1,$C$5,IF(F207=$S$1,$C$5)))))))))))</f>
        <v>M16x120-HDG-8.8</v>
      </c>
      <c r="N207" s="29">
        <f>C207*4</f>
        <v>4</v>
      </c>
      <c r="O207" s="29">
        <f>C207*8</f>
        <v>8</v>
      </c>
      <c r="P207" s="29">
        <v>0</v>
      </c>
      <c r="Q207" s="29">
        <f>C207*8</f>
        <v>8</v>
      </c>
      <c r="R207" s="29">
        <f t="shared" ref="R207:R223" si="101">N207*0</f>
        <v>0</v>
      </c>
    </row>
    <row r="208" spans="1:20" x14ac:dyDescent="0.25">
      <c r="B208" t="s">
        <v>698</v>
      </c>
      <c r="C208" s="29">
        <v>1</v>
      </c>
      <c r="D208" s="29" t="s">
        <v>361</v>
      </c>
      <c r="E208" s="29"/>
      <c r="F208" s="73" t="s">
        <v>22</v>
      </c>
      <c r="G208" s="73">
        <v>10</v>
      </c>
      <c r="H208" s="73">
        <v>45</v>
      </c>
      <c r="I208" s="73">
        <v>10</v>
      </c>
      <c r="J208" s="29">
        <f>IF(F208=$K$1,$K$2*3+$K$3+$K$5,
IF(F208=$L$1,$L$2*3+$L$3+$L$5,
IF(F208=$M$1,$M$2*3+$M$3+$M$5,
IF(F208=$N$1,$N$2*3+$N$3+$N$5,
IF(F208=$O$1,$O$2*3+$O$3+$O$5,
IF(F208=$P$1,$P$2*3+$P$3+$P$5,
IF(F208=$Q$1,$Q$2*3+$Q$3+$Q$5,
IF(F208=$R$1,$R$2*3+$R$3+$R$5,
IF(F208=$S$1,$S$2*3+$S$3+$S$5,"")))))))))</f>
        <v>52.400000000000006</v>
      </c>
      <c r="K208" s="29">
        <f t="shared" si="98"/>
        <v>117.4</v>
      </c>
      <c r="L208" s="29">
        <f t="shared" si="99"/>
        <v>120</v>
      </c>
      <c r="M208" s="78" t="str">
        <f t="shared" si="100"/>
        <v>M16x120-HDG-8.8</v>
      </c>
      <c r="N208" s="29">
        <f>C208*4</f>
        <v>4</v>
      </c>
      <c r="O208" s="29">
        <f>C208*8</f>
        <v>8</v>
      </c>
      <c r="P208" s="29">
        <v>0</v>
      </c>
      <c r="Q208" s="29">
        <f t="shared" ref="Q208:Q223" si="102">C208*2</f>
        <v>2</v>
      </c>
      <c r="R208" s="29">
        <f t="shared" si="101"/>
        <v>0</v>
      </c>
    </row>
    <row r="209" spans="2:18" x14ac:dyDescent="0.25">
      <c r="B209" t="s">
        <v>699</v>
      </c>
      <c r="C209" s="29">
        <v>120</v>
      </c>
      <c r="D209" s="29" t="s">
        <v>361</v>
      </c>
      <c r="E209" s="29"/>
      <c r="F209" s="73" t="s">
        <v>23</v>
      </c>
      <c r="G209" s="73">
        <v>10</v>
      </c>
      <c r="H209" s="73">
        <v>0</v>
      </c>
      <c r="I209" s="73">
        <v>10</v>
      </c>
      <c r="J209" s="29">
        <f t="shared" ref="J209:J222" si="103">IF(F209=$K$1,$K$2+2*$K$3+$K$5,
IF(F209=$L$1,$L$2+2*$L$3+$L$5,
IF(F209=$M$1,$M$2+2*$M$3+$M$5,
IF(F209=$N$1,$N$2+2*$N$3+$N$5,
IF(F209=$O$1,$O$2+2*$O$3+$O$5,
IF(F209=$P$1,$P$2+2*$P$3+$P$5,
IF(F209=$Q$1,$Q$2+2*$Q$3+$Q$5,
IF(F209=$R$1,$R$2+2*$R$3+$R$5,
IF(F209=$S$1,$S$2+2*$S$3+$S$5,"")))))))))</f>
        <v>29</v>
      </c>
      <c r="K209" s="29">
        <f t="shared" si="98"/>
        <v>49</v>
      </c>
      <c r="L209" s="29">
        <f t="shared" si="99"/>
        <v>50</v>
      </c>
      <c r="M209" s="78" t="str">
        <f t="shared" si="100"/>
        <v>M20x50-HDG-8.8</v>
      </c>
      <c r="N209" s="29">
        <f t="shared" ref="N209:N223" si="104">C209*1</f>
        <v>120</v>
      </c>
      <c r="O209" s="29">
        <f>C209*1</f>
        <v>120</v>
      </c>
      <c r="P209" s="29">
        <v>0</v>
      </c>
      <c r="Q209" s="29">
        <f t="shared" si="102"/>
        <v>240</v>
      </c>
      <c r="R209" s="29">
        <f t="shared" si="101"/>
        <v>0</v>
      </c>
    </row>
    <row r="210" spans="2:18" x14ac:dyDescent="0.25">
      <c r="B210" t="s">
        <v>700</v>
      </c>
      <c r="C210" s="29">
        <v>0</v>
      </c>
      <c r="D210" s="29" t="s">
        <v>361</v>
      </c>
      <c r="E210" s="29"/>
      <c r="F210" s="73" t="s">
        <v>23</v>
      </c>
      <c r="G210" s="73">
        <v>10</v>
      </c>
      <c r="H210" s="73">
        <v>0</v>
      </c>
      <c r="I210" s="73">
        <v>10</v>
      </c>
      <c r="J210" s="29">
        <f t="shared" si="103"/>
        <v>29</v>
      </c>
      <c r="K210" s="29">
        <f t="shared" si="98"/>
        <v>49</v>
      </c>
      <c r="L210" s="29">
        <f t="shared" si="99"/>
        <v>50</v>
      </c>
      <c r="M210" s="78" t="str">
        <f t="shared" si="100"/>
        <v>M20x50-HDG-8.8</v>
      </c>
      <c r="N210" s="29">
        <f t="shared" si="104"/>
        <v>0</v>
      </c>
      <c r="O210" s="29">
        <f>C210*1</f>
        <v>0</v>
      </c>
      <c r="P210" s="29">
        <v>0</v>
      </c>
      <c r="Q210" s="29">
        <f t="shared" si="102"/>
        <v>0</v>
      </c>
      <c r="R210" s="29">
        <f t="shared" si="101"/>
        <v>0</v>
      </c>
    </row>
    <row r="211" spans="2:18" x14ac:dyDescent="0.25">
      <c r="B211" t="s">
        <v>701</v>
      </c>
      <c r="C211" s="29">
        <v>0</v>
      </c>
      <c r="D211" s="29" t="s">
        <v>361</v>
      </c>
      <c r="E211" s="29"/>
      <c r="F211" s="73" t="s">
        <v>22</v>
      </c>
      <c r="G211" s="73">
        <v>10</v>
      </c>
      <c r="H211" s="73">
        <v>0</v>
      </c>
      <c r="I211" s="73">
        <v>10</v>
      </c>
      <c r="J211" s="29">
        <f t="shared" si="103"/>
        <v>25.8</v>
      </c>
      <c r="K211" s="29">
        <f t="shared" si="98"/>
        <v>45.8</v>
      </c>
      <c r="L211" s="29">
        <f t="shared" si="99"/>
        <v>50</v>
      </c>
      <c r="M211" s="78" t="str">
        <f t="shared" si="100"/>
        <v>M16x50-HDG-8.8</v>
      </c>
      <c r="N211" s="29">
        <f t="shared" si="104"/>
        <v>0</v>
      </c>
      <c r="O211" s="29">
        <f>C211*1</f>
        <v>0</v>
      </c>
      <c r="P211" s="29">
        <v>0</v>
      </c>
      <c r="Q211" s="29">
        <f t="shared" si="102"/>
        <v>0</v>
      </c>
      <c r="R211" s="29">
        <f t="shared" si="101"/>
        <v>0</v>
      </c>
    </row>
    <row r="212" spans="2:18" x14ac:dyDescent="0.25">
      <c r="B212" t="s">
        <v>702</v>
      </c>
      <c r="C212" s="29">
        <v>0</v>
      </c>
      <c r="D212" s="29" t="s">
        <v>361</v>
      </c>
      <c r="E212" s="29"/>
      <c r="F212" s="73" t="s">
        <v>22</v>
      </c>
      <c r="G212" s="73">
        <v>10</v>
      </c>
      <c r="H212" s="73">
        <v>0</v>
      </c>
      <c r="I212" s="73">
        <v>10</v>
      </c>
      <c r="J212" s="29">
        <f t="shared" si="103"/>
        <v>25.8</v>
      </c>
      <c r="K212" s="29">
        <f t="shared" si="98"/>
        <v>45.8</v>
      </c>
      <c r="L212" s="29">
        <f t="shared" si="99"/>
        <v>50</v>
      </c>
      <c r="M212" s="78" t="str">
        <f t="shared" si="100"/>
        <v>M16x50-HDG-8.8</v>
      </c>
      <c r="N212" s="29">
        <f t="shared" si="104"/>
        <v>0</v>
      </c>
      <c r="O212" s="29">
        <f>C212*1</f>
        <v>0</v>
      </c>
      <c r="P212" s="29">
        <v>0</v>
      </c>
      <c r="Q212" s="29">
        <f t="shared" si="102"/>
        <v>0</v>
      </c>
      <c r="R212" s="29">
        <f t="shared" si="101"/>
        <v>0</v>
      </c>
    </row>
    <row r="213" spans="2:18" x14ac:dyDescent="0.25">
      <c r="B213" t="s">
        <v>703</v>
      </c>
      <c r="C213" s="29">
        <v>2</v>
      </c>
      <c r="D213" s="29" t="s">
        <v>361</v>
      </c>
      <c r="E213" s="29"/>
      <c r="F213" s="73" t="s">
        <v>22</v>
      </c>
      <c r="G213" s="73">
        <v>10</v>
      </c>
      <c r="H213" s="73">
        <v>0</v>
      </c>
      <c r="I213" s="73">
        <v>10</v>
      </c>
      <c r="J213" s="29">
        <f t="shared" si="103"/>
        <v>25.8</v>
      </c>
      <c r="K213" s="29">
        <f t="shared" si="98"/>
        <v>45.8</v>
      </c>
      <c r="L213" s="29">
        <f t="shared" si="99"/>
        <v>50</v>
      </c>
      <c r="M213" s="78" t="str">
        <f t="shared" si="100"/>
        <v>M16x50-HDG-8.8</v>
      </c>
      <c r="N213" s="29">
        <f t="shared" si="104"/>
        <v>2</v>
      </c>
      <c r="O213" s="29">
        <f>C213*Q2114</f>
        <v>0</v>
      </c>
      <c r="P213" s="29">
        <v>0</v>
      </c>
      <c r="Q213" s="29">
        <f t="shared" si="102"/>
        <v>4</v>
      </c>
      <c r="R213" s="29">
        <f t="shared" si="101"/>
        <v>0</v>
      </c>
    </row>
    <row r="214" spans="2:18" x14ac:dyDescent="0.25">
      <c r="B214" t="s">
        <v>704</v>
      </c>
      <c r="C214" s="29">
        <v>5</v>
      </c>
      <c r="D214" s="29" t="s">
        <v>361</v>
      </c>
      <c r="E214" s="29"/>
      <c r="F214" s="73" t="s">
        <v>22</v>
      </c>
      <c r="G214" s="73">
        <v>10</v>
      </c>
      <c r="H214" s="73">
        <v>0</v>
      </c>
      <c r="I214" s="73">
        <v>10</v>
      </c>
      <c r="J214" s="29">
        <f t="shared" si="103"/>
        <v>25.8</v>
      </c>
      <c r="K214" s="29">
        <f t="shared" si="98"/>
        <v>45.8</v>
      </c>
      <c r="L214" s="29">
        <f t="shared" si="99"/>
        <v>50</v>
      </c>
      <c r="M214" s="78" t="str">
        <f t="shared" si="100"/>
        <v>M16x50-HDG-8.8</v>
      </c>
      <c r="N214" s="29">
        <f t="shared" si="104"/>
        <v>5</v>
      </c>
      <c r="O214" s="29">
        <f t="shared" ref="O214:O223" si="105">C214*1</f>
        <v>5</v>
      </c>
      <c r="P214" s="29">
        <v>0</v>
      </c>
      <c r="Q214" s="29">
        <f t="shared" si="102"/>
        <v>10</v>
      </c>
      <c r="R214" s="29">
        <f t="shared" si="101"/>
        <v>0</v>
      </c>
    </row>
    <row r="215" spans="2:18" x14ac:dyDescent="0.25">
      <c r="B215" t="s">
        <v>705</v>
      </c>
      <c r="C215" s="29">
        <v>5</v>
      </c>
      <c r="D215" s="29" t="s">
        <v>361</v>
      </c>
      <c r="E215" s="29"/>
      <c r="F215" s="73" t="s">
        <v>22</v>
      </c>
      <c r="G215" s="73">
        <v>10</v>
      </c>
      <c r="H215" s="73">
        <v>0</v>
      </c>
      <c r="I215" s="73">
        <v>10</v>
      </c>
      <c r="J215" s="29">
        <f t="shared" si="103"/>
        <v>25.8</v>
      </c>
      <c r="K215" s="29">
        <f t="shared" si="98"/>
        <v>45.8</v>
      </c>
      <c r="L215" s="29">
        <f t="shared" si="99"/>
        <v>50</v>
      </c>
      <c r="M215" s="78" t="str">
        <f t="shared" si="100"/>
        <v>M16x50-HDG-8.8</v>
      </c>
      <c r="N215" s="29">
        <f t="shared" si="104"/>
        <v>5</v>
      </c>
      <c r="O215" s="29">
        <f t="shared" si="105"/>
        <v>5</v>
      </c>
      <c r="P215" s="29">
        <v>0</v>
      </c>
      <c r="Q215" s="29">
        <f t="shared" si="102"/>
        <v>10</v>
      </c>
      <c r="R215" s="29">
        <f t="shared" si="101"/>
        <v>0</v>
      </c>
    </row>
    <row r="216" spans="2:18" x14ac:dyDescent="0.25">
      <c r="B216" t="s">
        <v>706</v>
      </c>
      <c r="C216" s="29">
        <v>6</v>
      </c>
      <c r="D216" s="29" t="s">
        <v>361</v>
      </c>
      <c r="E216" s="29"/>
      <c r="F216" s="73" t="s">
        <v>22</v>
      </c>
      <c r="G216" s="73">
        <v>10</v>
      </c>
      <c r="H216" s="73">
        <v>0</v>
      </c>
      <c r="I216" s="73">
        <v>10</v>
      </c>
      <c r="J216" s="29">
        <f t="shared" si="103"/>
        <v>25.8</v>
      </c>
      <c r="K216" s="29">
        <f t="shared" si="98"/>
        <v>45.8</v>
      </c>
      <c r="L216" s="29">
        <f t="shared" si="99"/>
        <v>50</v>
      </c>
      <c r="M216" s="78" t="str">
        <f t="shared" si="100"/>
        <v>M16x50-HDG-8.8</v>
      </c>
      <c r="N216" s="29">
        <f t="shared" si="104"/>
        <v>6</v>
      </c>
      <c r="O216" s="29">
        <f t="shared" si="105"/>
        <v>6</v>
      </c>
      <c r="P216" s="29">
        <v>0</v>
      </c>
      <c r="Q216" s="29">
        <f t="shared" si="102"/>
        <v>12</v>
      </c>
      <c r="R216" s="29">
        <f t="shared" si="101"/>
        <v>0</v>
      </c>
    </row>
    <row r="217" spans="2:18" x14ac:dyDescent="0.25">
      <c r="B217" t="s">
        <v>707</v>
      </c>
      <c r="C217" s="29">
        <v>50</v>
      </c>
      <c r="D217" s="29" t="s">
        <v>361</v>
      </c>
      <c r="E217" s="29"/>
      <c r="F217" s="73" t="s">
        <v>22</v>
      </c>
      <c r="G217" s="73">
        <v>10</v>
      </c>
      <c r="H217" s="73">
        <v>0</v>
      </c>
      <c r="I217" s="73">
        <v>10</v>
      </c>
      <c r="J217" s="29">
        <f t="shared" si="103"/>
        <v>25.8</v>
      </c>
      <c r="K217" s="29">
        <f t="shared" si="98"/>
        <v>45.8</v>
      </c>
      <c r="L217" s="29">
        <f t="shared" si="99"/>
        <v>50</v>
      </c>
      <c r="M217" s="78" t="str">
        <f t="shared" si="100"/>
        <v>M16x50-HDG-8.8</v>
      </c>
      <c r="N217" s="29">
        <f t="shared" si="104"/>
        <v>50</v>
      </c>
      <c r="O217" s="29">
        <f t="shared" si="105"/>
        <v>50</v>
      </c>
      <c r="P217" s="29">
        <v>0</v>
      </c>
      <c r="Q217" s="29">
        <f t="shared" si="102"/>
        <v>100</v>
      </c>
      <c r="R217" s="29">
        <f t="shared" si="101"/>
        <v>0</v>
      </c>
    </row>
    <row r="218" spans="2:18" x14ac:dyDescent="0.25">
      <c r="B218" t="s">
        <v>705</v>
      </c>
      <c r="C218" s="29">
        <v>10</v>
      </c>
      <c r="D218" s="29" t="s">
        <v>361</v>
      </c>
      <c r="E218" s="29"/>
      <c r="F218" s="73" t="s">
        <v>22</v>
      </c>
      <c r="G218" s="73">
        <v>10</v>
      </c>
      <c r="H218" s="73">
        <v>0</v>
      </c>
      <c r="I218" s="73">
        <v>10</v>
      </c>
      <c r="J218" s="29">
        <f t="shared" si="103"/>
        <v>25.8</v>
      </c>
      <c r="K218" s="29">
        <f t="shared" si="98"/>
        <v>45.8</v>
      </c>
      <c r="L218" s="29">
        <f t="shared" si="99"/>
        <v>50</v>
      </c>
      <c r="M218" s="78" t="str">
        <f t="shared" si="100"/>
        <v>M16x50-HDG-8.8</v>
      </c>
      <c r="N218" s="29">
        <f t="shared" si="104"/>
        <v>10</v>
      </c>
      <c r="O218" s="29">
        <f t="shared" si="105"/>
        <v>10</v>
      </c>
      <c r="P218" s="29">
        <v>0</v>
      </c>
      <c r="Q218" s="29">
        <f t="shared" si="102"/>
        <v>20</v>
      </c>
      <c r="R218" s="29">
        <f t="shared" si="101"/>
        <v>0</v>
      </c>
    </row>
    <row r="219" spans="2:18" x14ac:dyDescent="0.25">
      <c r="B219" t="s">
        <v>706</v>
      </c>
      <c r="C219" s="29">
        <v>5</v>
      </c>
      <c r="D219" s="29" t="s">
        <v>361</v>
      </c>
      <c r="E219" s="29"/>
      <c r="F219" s="73" t="s">
        <v>22</v>
      </c>
      <c r="G219" s="73">
        <v>10</v>
      </c>
      <c r="H219" s="73">
        <v>0</v>
      </c>
      <c r="I219" s="73">
        <v>10</v>
      </c>
      <c r="J219" s="29">
        <f t="shared" si="103"/>
        <v>25.8</v>
      </c>
      <c r="K219" s="29">
        <f t="shared" si="98"/>
        <v>45.8</v>
      </c>
      <c r="L219" s="29">
        <f t="shared" si="99"/>
        <v>50</v>
      </c>
      <c r="M219" s="78" t="str">
        <f t="shared" si="100"/>
        <v>M16x50-HDG-8.8</v>
      </c>
      <c r="N219" s="29">
        <f t="shared" si="104"/>
        <v>5</v>
      </c>
      <c r="O219" s="29">
        <f t="shared" si="105"/>
        <v>5</v>
      </c>
      <c r="P219" s="29">
        <v>0</v>
      </c>
      <c r="Q219" s="29">
        <f t="shared" si="102"/>
        <v>10</v>
      </c>
      <c r="R219" s="29">
        <f t="shared" si="101"/>
        <v>0</v>
      </c>
    </row>
    <row r="220" spans="2:18" x14ac:dyDescent="0.25">
      <c r="B220" t="s">
        <v>708</v>
      </c>
      <c r="C220" s="29">
        <v>2</v>
      </c>
      <c r="D220" s="29" t="s">
        <v>361</v>
      </c>
      <c r="E220" s="29"/>
      <c r="F220" s="73" t="s">
        <v>22</v>
      </c>
      <c r="G220" s="73">
        <v>10</v>
      </c>
      <c r="H220" s="73">
        <v>0</v>
      </c>
      <c r="I220" s="73">
        <v>10</v>
      </c>
      <c r="J220" s="29">
        <f t="shared" si="103"/>
        <v>25.8</v>
      </c>
      <c r="K220" s="29">
        <f t="shared" si="98"/>
        <v>45.8</v>
      </c>
      <c r="L220" s="29">
        <f t="shared" si="99"/>
        <v>50</v>
      </c>
      <c r="M220" s="78" t="str">
        <f t="shared" si="100"/>
        <v>M16x50-HDG-8.8</v>
      </c>
      <c r="N220" s="29">
        <f t="shared" si="104"/>
        <v>2</v>
      </c>
      <c r="O220" s="29">
        <f t="shared" si="105"/>
        <v>2</v>
      </c>
      <c r="P220" s="29">
        <v>0</v>
      </c>
      <c r="Q220" s="29">
        <f t="shared" si="102"/>
        <v>4</v>
      </c>
      <c r="R220" s="29">
        <f t="shared" si="101"/>
        <v>0</v>
      </c>
    </row>
    <row r="221" spans="2:18" x14ac:dyDescent="0.25">
      <c r="B221" t="s">
        <v>709</v>
      </c>
      <c r="C221" s="29">
        <v>6</v>
      </c>
      <c r="D221" s="29" t="s">
        <v>361</v>
      </c>
      <c r="E221" s="29"/>
      <c r="F221" s="73" t="s">
        <v>22</v>
      </c>
      <c r="G221" s="73">
        <v>10</v>
      </c>
      <c r="H221" s="73">
        <v>0</v>
      </c>
      <c r="I221" s="73">
        <v>10</v>
      </c>
      <c r="J221" s="29">
        <f t="shared" si="103"/>
        <v>25.8</v>
      </c>
      <c r="K221" s="29">
        <f t="shared" si="98"/>
        <v>45.8</v>
      </c>
      <c r="L221" s="29">
        <f t="shared" si="99"/>
        <v>50</v>
      </c>
      <c r="M221" s="78" t="str">
        <f t="shared" si="100"/>
        <v>M16x50-HDG-8.8</v>
      </c>
      <c r="N221" s="29">
        <f t="shared" si="104"/>
        <v>6</v>
      </c>
      <c r="O221" s="29">
        <f t="shared" si="105"/>
        <v>6</v>
      </c>
      <c r="P221" s="29">
        <v>0</v>
      </c>
      <c r="Q221" s="29">
        <f t="shared" si="102"/>
        <v>12</v>
      </c>
      <c r="R221" s="29">
        <f t="shared" si="101"/>
        <v>0</v>
      </c>
    </row>
    <row r="222" spans="2:18" x14ac:dyDescent="0.25">
      <c r="B222" t="s">
        <v>710</v>
      </c>
      <c r="C222" s="29">
        <v>5</v>
      </c>
      <c r="D222" s="29" t="s">
        <v>361</v>
      </c>
      <c r="E222" s="29"/>
      <c r="F222" s="73" t="s">
        <v>22</v>
      </c>
      <c r="G222" s="73">
        <v>10</v>
      </c>
      <c r="H222" s="73">
        <v>0</v>
      </c>
      <c r="I222" s="73">
        <v>10</v>
      </c>
      <c r="J222" s="29">
        <f t="shared" si="103"/>
        <v>25.8</v>
      </c>
      <c r="K222" s="29">
        <f t="shared" si="98"/>
        <v>45.8</v>
      </c>
      <c r="L222" s="29">
        <f t="shared" si="99"/>
        <v>50</v>
      </c>
      <c r="M222" s="78" t="str">
        <f t="shared" si="100"/>
        <v>M16x50-HDG-8.8</v>
      </c>
      <c r="N222" s="29">
        <f t="shared" si="104"/>
        <v>5</v>
      </c>
      <c r="O222" s="29">
        <f t="shared" si="105"/>
        <v>5</v>
      </c>
      <c r="P222" s="29">
        <v>0</v>
      </c>
      <c r="Q222" s="29">
        <f t="shared" si="102"/>
        <v>10</v>
      </c>
      <c r="R222" s="29">
        <f t="shared" si="101"/>
        <v>0</v>
      </c>
    </row>
    <row r="223" spans="2:18" x14ac:dyDescent="0.25">
      <c r="B223" t="s">
        <v>711</v>
      </c>
      <c r="C223" s="29">
        <v>2</v>
      </c>
      <c r="D223" s="29" t="s">
        <v>361</v>
      </c>
      <c r="E223" s="29"/>
      <c r="F223" s="73" t="s">
        <v>21</v>
      </c>
      <c r="G223" s="73">
        <v>10</v>
      </c>
      <c r="H223" s="73">
        <v>10</v>
      </c>
      <c r="I223" s="73">
        <v>10</v>
      </c>
      <c r="J223" s="29">
        <f>IF(F223=$K$1,$K$2+2*$K$3+$K$5,
IF(F223=$L$1,$L$2+2*$L$3+$L$5,
IF(F223=$M$1,$M$2+2*$M$3+$M$5*2,
IF(F223=$N$1,$N$2+2*$N$3+$N$5*2,
IF(F223=$O$1,$O$2+2*$O$3+$O$5*2,
IF(F223=$P$1,$P$2+2*$P$3+$P$5*2,
IF(F223=$Q$1,$Q$2+2*$Q$3+$Q$5*2,
IF(F223=$R$1,$R$2+2*$R$3+$R$5*2,
IF(F223=$S$1,$S$2+2*$S$3+$S$5,"")))))))))</f>
        <v>25.8</v>
      </c>
      <c r="K223" s="29">
        <f t="shared" si="98"/>
        <v>55.8</v>
      </c>
      <c r="L223" s="29">
        <f t="shared" si="99"/>
        <v>60</v>
      </c>
      <c r="M223" s="78" t="str">
        <f>(CONCATENATE(F223,"x",L223,"-","SS"))</f>
        <v>M12x60-SS</v>
      </c>
      <c r="N223" s="29">
        <f t="shared" si="104"/>
        <v>2</v>
      </c>
      <c r="O223" s="29">
        <f t="shared" si="105"/>
        <v>2</v>
      </c>
      <c r="P223" s="29">
        <v>0</v>
      </c>
      <c r="Q223" s="29">
        <f t="shared" si="102"/>
        <v>4</v>
      </c>
      <c r="R223" s="29">
        <f t="shared" si="101"/>
        <v>0</v>
      </c>
    </row>
    <row r="224" spans="2:18" x14ac:dyDescent="0.25">
      <c r="C224" s="29"/>
      <c r="F224" s="29"/>
      <c r="G224" s="29"/>
      <c r="H224" s="29"/>
      <c r="I224" s="29"/>
      <c r="J224" s="29" t="str">
        <f t="shared" ref="J224:J237" si="106">IF(F224=$K$1,$K$2+2*$K$3+$K$5,
IF(F224=$L$1,$L$2+2*$L$3+$L$5,
IF(F224=$M$1,$M$2+2*$M$3+$M$5,
IF(F224=$N$1,$N$2+2*$N$3+$N$5,
IF(F224=$O$1,$O$2+2*$O$3+$O$5,
IF(F224=$P$1,$P$2+2*$P$3+$P$5,
IF(F224=$Q$1,$Q$2+2*$Q$3+$Q$5,
IF(F224=$R$1,$R$2+2*$R$3+$R$5,
IF(F224=$S$1,$S$2+2*$S$3+$S$5,"")))))))))</f>
        <v/>
      </c>
      <c r="K224" s="3"/>
      <c r="L224" s="3"/>
      <c r="M224" s="78"/>
    </row>
    <row r="225" spans="1:20" x14ac:dyDescent="0.25">
      <c r="A225" s="59"/>
      <c r="B225" s="128" t="s">
        <v>712</v>
      </c>
      <c r="C225" s="123"/>
      <c r="D225" s="125"/>
      <c r="E225" s="125"/>
      <c r="F225" s="123"/>
      <c r="G225" s="123"/>
      <c r="H225" s="123"/>
      <c r="I225" s="123"/>
      <c r="J225" s="146" t="str">
        <f t="shared" si="106"/>
        <v/>
      </c>
      <c r="K225" s="123"/>
      <c r="L225" s="123"/>
      <c r="M225" s="147"/>
      <c r="N225" s="123"/>
      <c r="O225" s="123"/>
      <c r="P225" s="123"/>
      <c r="Q225" s="123"/>
      <c r="R225" s="123"/>
      <c r="S225" s="126"/>
      <c r="T225" s="127"/>
    </row>
    <row r="226" spans="1:20" x14ac:dyDescent="0.25">
      <c r="B226" t="s">
        <v>713</v>
      </c>
      <c r="C226" s="29">
        <v>120</v>
      </c>
      <c r="D226" s="29" t="s">
        <v>361</v>
      </c>
      <c r="E226" s="29"/>
      <c r="F226" s="73" t="s">
        <v>22</v>
      </c>
      <c r="G226" s="73">
        <v>10</v>
      </c>
      <c r="H226" s="73">
        <v>0</v>
      </c>
      <c r="I226" s="73">
        <v>10</v>
      </c>
      <c r="J226" s="29">
        <f t="shared" si="106"/>
        <v>25.8</v>
      </c>
      <c r="K226" s="29">
        <f t="shared" ref="K226:K237" si="107">SUM(G226:J226)</f>
        <v>45.8</v>
      </c>
      <c r="L226" s="29">
        <f t="shared" ref="L226:L237" si="108">CEILING(K226, 10)</f>
        <v>50</v>
      </c>
      <c r="M226" s="78" t="str">
        <f t="shared" ref="M226:M237" si="109">(CONCATENATE(F226,"x",L226,"-",IF(F226=$K$1,$C$4,IF(F226=$L$1,$C$4,IF(F226=$M$1,$C$4,IF(F226=$N$1,$C$4,IF(F226=$O$1,$C$4,IF(F226=$P$1,$C$5,IF(F226=$Q$1,$C$5,IF(F226=$R$1,$C$5,IF(F226=$S$1,$C$5)))))))))))</f>
        <v>M16x50-HDG-8.8</v>
      </c>
      <c r="N226" s="29">
        <f t="shared" ref="N226:N237" si="110">C226*1</f>
        <v>120</v>
      </c>
      <c r="O226" s="29">
        <f t="shared" ref="O226:O237" si="111">C226*1</f>
        <v>120</v>
      </c>
      <c r="P226" s="29">
        <v>0</v>
      </c>
      <c r="Q226" s="29">
        <f t="shared" ref="Q226:Q237" si="112">C226*2</f>
        <v>240</v>
      </c>
      <c r="R226" s="29">
        <f t="shared" ref="R226:R237" si="113">N226*0</f>
        <v>0</v>
      </c>
    </row>
    <row r="227" spans="1:20" x14ac:dyDescent="0.25">
      <c r="B227" t="s">
        <v>714</v>
      </c>
      <c r="C227" s="29">
        <v>120</v>
      </c>
      <c r="D227" s="29" t="s">
        <v>361</v>
      </c>
      <c r="E227" s="29"/>
      <c r="F227" s="73" t="s">
        <v>22</v>
      </c>
      <c r="G227" s="73">
        <v>10</v>
      </c>
      <c r="H227" s="73">
        <v>0</v>
      </c>
      <c r="I227" s="73">
        <v>10</v>
      </c>
      <c r="J227" s="29">
        <f t="shared" si="106"/>
        <v>25.8</v>
      </c>
      <c r="K227" s="29">
        <f t="shared" si="107"/>
        <v>45.8</v>
      </c>
      <c r="L227" s="29">
        <f t="shared" si="108"/>
        <v>50</v>
      </c>
      <c r="M227" s="78" t="str">
        <f t="shared" si="109"/>
        <v>M16x50-HDG-8.8</v>
      </c>
      <c r="N227" s="29">
        <f t="shared" si="110"/>
        <v>120</v>
      </c>
      <c r="O227" s="29">
        <f t="shared" si="111"/>
        <v>120</v>
      </c>
      <c r="P227" s="29">
        <v>0</v>
      </c>
      <c r="Q227" s="29">
        <f t="shared" si="112"/>
        <v>240</v>
      </c>
      <c r="R227" s="29">
        <f t="shared" si="113"/>
        <v>0</v>
      </c>
    </row>
    <row r="228" spans="1:20" x14ac:dyDescent="0.25">
      <c r="B228" t="s">
        <v>715</v>
      </c>
      <c r="C228" s="29">
        <v>120</v>
      </c>
      <c r="D228" s="29" t="s">
        <v>361</v>
      </c>
      <c r="E228" s="29"/>
      <c r="F228" s="73" t="s">
        <v>22</v>
      </c>
      <c r="G228" s="73">
        <v>10</v>
      </c>
      <c r="H228" s="73">
        <v>0</v>
      </c>
      <c r="I228" s="73">
        <v>10</v>
      </c>
      <c r="J228" s="29">
        <f t="shared" si="106"/>
        <v>25.8</v>
      </c>
      <c r="K228" s="29">
        <f t="shared" si="107"/>
        <v>45.8</v>
      </c>
      <c r="L228" s="29">
        <f t="shared" si="108"/>
        <v>50</v>
      </c>
      <c r="M228" s="78" t="str">
        <f t="shared" si="109"/>
        <v>M16x50-HDG-8.8</v>
      </c>
      <c r="N228" s="29">
        <f t="shared" si="110"/>
        <v>120</v>
      </c>
      <c r="O228" s="29">
        <f t="shared" si="111"/>
        <v>120</v>
      </c>
      <c r="P228" s="29">
        <v>0</v>
      </c>
      <c r="Q228" s="29">
        <f t="shared" si="112"/>
        <v>240</v>
      </c>
      <c r="R228" s="29">
        <f t="shared" si="113"/>
        <v>0</v>
      </c>
    </row>
    <row r="229" spans="1:20" x14ac:dyDescent="0.25">
      <c r="B229" t="s">
        <v>716</v>
      </c>
      <c r="C229" s="29">
        <v>120</v>
      </c>
      <c r="D229" s="29" t="s">
        <v>361</v>
      </c>
      <c r="E229" s="29"/>
      <c r="F229" s="73" t="s">
        <v>22</v>
      </c>
      <c r="G229" s="73">
        <v>15</v>
      </c>
      <c r="H229" s="73">
        <v>0</v>
      </c>
      <c r="I229" s="73">
        <v>15</v>
      </c>
      <c r="J229" s="29">
        <f t="shared" si="106"/>
        <v>25.8</v>
      </c>
      <c r="K229" s="29">
        <f t="shared" si="107"/>
        <v>55.8</v>
      </c>
      <c r="L229" s="29">
        <f t="shared" si="108"/>
        <v>60</v>
      </c>
      <c r="M229" s="78" t="str">
        <f t="shared" si="109"/>
        <v>M16x60-HDG-8.8</v>
      </c>
      <c r="N229" s="29">
        <f t="shared" si="110"/>
        <v>120</v>
      </c>
      <c r="O229" s="29">
        <f t="shared" si="111"/>
        <v>120</v>
      </c>
      <c r="P229" s="29">
        <v>0</v>
      </c>
      <c r="Q229" s="29">
        <f t="shared" si="112"/>
        <v>240</v>
      </c>
      <c r="R229" s="29">
        <f t="shared" si="113"/>
        <v>0</v>
      </c>
    </row>
    <row r="230" spans="1:20" x14ac:dyDescent="0.25">
      <c r="B230" t="s">
        <v>717</v>
      </c>
      <c r="C230" s="29">
        <v>50</v>
      </c>
      <c r="D230" s="29" t="s">
        <v>361</v>
      </c>
      <c r="E230" s="29"/>
      <c r="F230" s="73" t="s">
        <v>22</v>
      </c>
      <c r="G230" s="73">
        <v>10</v>
      </c>
      <c r="H230" s="73">
        <v>0</v>
      </c>
      <c r="I230" s="73">
        <v>10</v>
      </c>
      <c r="J230" s="29">
        <f t="shared" si="106"/>
        <v>25.8</v>
      </c>
      <c r="K230" s="29">
        <f t="shared" si="107"/>
        <v>45.8</v>
      </c>
      <c r="L230" s="29">
        <f t="shared" si="108"/>
        <v>50</v>
      </c>
      <c r="M230" s="78" t="str">
        <f t="shared" si="109"/>
        <v>M16x50-HDG-8.8</v>
      </c>
      <c r="N230" s="29">
        <f t="shared" si="110"/>
        <v>50</v>
      </c>
      <c r="O230" s="29">
        <f t="shared" si="111"/>
        <v>50</v>
      </c>
      <c r="P230" s="29">
        <v>0</v>
      </c>
      <c r="Q230" s="29">
        <f t="shared" si="112"/>
        <v>100</v>
      </c>
      <c r="R230" s="29">
        <f t="shared" si="113"/>
        <v>0</v>
      </c>
    </row>
    <row r="231" spans="1:20" x14ac:dyDescent="0.25">
      <c r="B231" t="s">
        <v>718</v>
      </c>
      <c r="C231" s="29">
        <v>10</v>
      </c>
      <c r="D231" s="29" t="s">
        <v>361</v>
      </c>
      <c r="E231" s="29"/>
      <c r="F231" s="73" t="s">
        <v>22</v>
      </c>
      <c r="G231" s="73">
        <v>10</v>
      </c>
      <c r="H231" s="73">
        <v>0</v>
      </c>
      <c r="I231" s="73">
        <v>10</v>
      </c>
      <c r="J231" s="29">
        <f t="shared" si="106"/>
        <v>25.8</v>
      </c>
      <c r="K231" s="29">
        <f t="shared" si="107"/>
        <v>45.8</v>
      </c>
      <c r="L231" s="29">
        <f t="shared" si="108"/>
        <v>50</v>
      </c>
      <c r="M231" s="78" t="str">
        <f t="shared" si="109"/>
        <v>M16x50-HDG-8.8</v>
      </c>
      <c r="N231" s="29">
        <f t="shared" si="110"/>
        <v>10</v>
      </c>
      <c r="O231" s="29">
        <f t="shared" si="111"/>
        <v>10</v>
      </c>
      <c r="P231" s="29">
        <v>0</v>
      </c>
      <c r="Q231" s="29">
        <f t="shared" si="112"/>
        <v>20</v>
      </c>
      <c r="R231" s="29">
        <f t="shared" si="113"/>
        <v>0</v>
      </c>
    </row>
    <row r="232" spans="1:20" x14ac:dyDescent="0.25">
      <c r="B232" t="s">
        <v>719</v>
      </c>
      <c r="C232" s="29">
        <v>50</v>
      </c>
      <c r="D232" s="29" t="s">
        <v>361</v>
      </c>
      <c r="E232" s="29"/>
      <c r="F232" s="73" t="s">
        <v>22</v>
      </c>
      <c r="G232" s="73">
        <v>10</v>
      </c>
      <c r="H232" s="73">
        <v>0</v>
      </c>
      <c r="I232" s="73">
        <v>10</v>
      </c>
      <c r="J232" s="29">
        <f t="shared" si="106"/>
        <v>25.8</v>
      </c>
      <c r="K232" s="29">
        <f t="shared" si="107"/>
        <v>45.8</v>
      </c>
      <c r="L232" s="29">
        <f t="shared" si="108"/>
        <v>50</v>
      </c>
      <c r="M232" s="78" t="str">
        <f t="shared" si="109"/>
        <v>M16x50-HDG-8.8</v>
      </c>
      <c r="N232" s="29">
        <f t="shared" si="110"/>
        <v>50</v>
      </c>
      <c r="O232" s="29">
        <f t="shared" si="111"/>
        <v>50</v>
      </c>
      <c r="P232" s="29">
        <v>0</v>
      </c>
      <c r="Q232" s="29">
        <f t="shared" si="112"/>
        <v>100</v>
      </c>
      <c r="R232" s="29">
        <f t="shared" si="113"/>
        <v>0</v>
      </c>
    </row>
    <row r="233" spans="1:20" x14ac:dyDescent="0.25">
      <c r="B233" t="s">
        <v>720</v>
      </c>
      <c r="C233" s="29">
        <v>26</v>
      </c>
      <c r="D233" s="29" t="s">
        <v>361</v>
      </c>
      <c r="E233" s="29"/>
      <c r="F233" s="73" t="s">
        <v>21</v>
      </c>
      <c r="G233" s="73">
        <v>10</v>
      </c>
      <c r="H233" s="73">
        <v>0</v>
      </c>
      <c r="I233" s="73">
        <v>10</v>
      </c>
      <c r="J233" s="29">
        <f t="shared" si="106"/>
        <v>20.8</v>
      </c>
      <c r="K233" s="29">
        <f t="shared" si="107"/>
        <v>40.799999999999997</v>
      </c>
      <c r="L233" s="29">
        <f t="shared" si="108"/>
        <v>50</v>
      </c>
      <c r="M233" s="78" t="str">
        <f t="shared" si="109"/>
        <v>M12x50-HDG-8.8</v>
      </c>
      <c r="N233" s="29">
        <f t="shared" si="110"/>
        <v>26</v>
      </c>
      <c r="O233" s="29">
        <f t="shared" si="111"/>
        <v>26</v>
      </c>
      <c r="P233" s="29">
        <v>0</v>
      </c>
      <c r="Q233" s="29">
        <f t="shared" si="112"/>
        <v>52</v>
      </c>
      <c r="R233" s="29">
        <f t="shared" si="113"/>
        <v>0</v>
      </c>
    </row>
    <row r="234" spans="1:20" x14ac:dyDescent="0.25">
      <c r="B234" t="s">
        <v>721</v>
      </c>
      <c r="C234" s="29">
        <v>26</v>
      </c>
      <c r="D234" s="29" t="s">
        <v>361</v>
      </c>
      <c r="E234" s="29"/>
      <c r="F234" s="73" t="s">
        <v>22</v>
      </c>
      <c r="G234" s="73">
        <v>10</v>
      </c>
      <c r="H234" s="73">
        <v>0</v>
      </c>
      <c r="I234" s="73">
        <v>10</v>
      </c>
      <c r="J234" s="29">
        <f t="shared" si="106"/>
        <v>25.8</v>
      </c>
      <c r="K234" s="29">
        <f t="shared" si="107"/>
        <v>45.8</v>
      </c>
      <c r="L234" s="29">
        <f t="shared" si="108"/>
        <v>50</v>
      </c>
      <c r="M234" s="78" t="str">
        <f t="shared" si="109"/>
        <v>M16x50-HDG-8.8</v>
      </c>
      <c r="N234" s="29">
        <f t="shared" si="110"/>
        <v>26</v>
      </c>
      <c r="O234" s="29">
        <f t="shared" si="111"/>
        <v>26</v>
      </c>
      <c r="P234" s="29">
        <v>0</v>
      </c>
      <c r="Q234" s="29">
        <f t="shared" si="112"/>
        <v>52</v>
      </c>
      <c r="R234" s="29">
        <f t="shared" si="113"/>
        <v>0</v>
      </c>
    </row>
    <row r="235" spans="1:20" x14ac:dyDescent="0.25">
      <c r="B235" t="s">
        <v>721</v>
      </c>
      <c r="C235" s="29">
        <v>56</v>
      </c>
      <c r="D235" s="29" t="s">
        <v>361</v>
      </c>
      <c r="E235" s="29"/>
      <c r="F235" s="73" t="s">
        <v>22</v>
      </c>
      <c r="G235" s="73">
        <v>10</v>
      </c>
      <c r="H235" s="73">
        <v>0</v>
      </c>
      <c r="I235" s="73">
        <v>10</v>
      </c>
      <c r="J235" s="29">
        <f t="shared" si="106"/>
        <v>25.8</v>
      </c>
      <c r="K235" s="29">
        <f t="shared" si="107"/>
        <v>45.8</v>
      </c>
      <c r="L235" s="29">
        <f t="shared" si="108"/>
        <v>50</v>
      </c>
      <c r="M235" s="78" t="str">
        <f t="shared" si="109"/>
        <v>M16x50-HDG-8.8</v>
      </c>
      <c r="N235" s="29">
        <f t="shared" si="110"/>
        <v>56</v>
      </c>
      <c r="O235" s="29">
        <f t="shared" si="111"/>
        <v>56</v>
      </c>
      <c r="P235" s="29">
        <v>0</v>
      </c>
      <c r="Q235" s="29">
        <f t="shared" si="112"/>
        <v>112</v>
      </c>
      <c r="R235" s="29">
        <f t="shared" si="113"/>
        <v>0</v>
      </c>
    </row>
    <row r="236" spans="1:20" x14ac:dyDescent="0.25">
      <c r="B236" t="s">
        <v>710</v>
      </c>
      <c r="C236" s="29">
        <v>50</v>
      </c>
      <c r="D236" s="29" t="s">
        <v>361</v>
      </c>
      <c r="E236" s="29"/>
      <c r="F236" s="73" t="s">
        <v>22</v>
      </c>
      <c r="G236" s="73">
        <v>10</v>
      </c>
      <c r="H236" s="73">
        <v>0</v>
      </c>
      <c r="I236" s="73">
        <v>10</v>
      </c>
      <c r="J236" s="29">
        <f t="shared" si="106"/>
        <v>25.8</v>
      </c>
      <c r="K236" s="29">
        <f t="shared" si="107"/>
        <v>45.8</v>
      </c>
      <c r="L236" s="29">
        <f t="shared" si="108"/>
        <v>50</v>
      </c>
      <c r="M236" s="78" t="str">
        <f t="shared" si="109"/>
        <v>M16x50-HDG-8.8</v>
      </c>
      <c r="N236" s="29">
        <f t="shared" si="110"/>
        <v>50</v>
      </c>
      <c r="O236" s="29">
        <f t="shared" si="111"/>
        <v>50</v>
      </c>
      <c r="P236" s="29">
        <v>0</v>
      </c>
      <c r="Q236" s="29">
        <f t="shared" si="112"/>
        <v>100</v>
      </c>
      <c r="R236" s="29">
        <f t="shared" si="113"/>
        <v>0</v>
      </c>
    </row>
    <row r="237" spans="1:20" x14ac:dyDescent="0.25">
      <c r="B237" t="s">
        <v>695</v>
      </c>
      <c r="C237" s="29">
        <v>42</v>
      </c>
      <c r="D237" s="29" t="s">
        <v>361</v>
      </c>
      <c r="E237" s="29"/>
      <c r="F237" s="73" t="s">
        <v>22</v>
      </c>
      <c r="G237" s="73">
        <v>10</v>
      </c>
      <c r="H237" s="73">
        <v>0</v>
      </c>
      <c r="I237" s="73">
        <v>10</v>
      </c>
      <c r="J237" s="29">
        <f t="shared" si="106"/>
        <v>25.8</v>
      </c>
      <c r="K237" s="29">
        <f t="shared" si="107"/>
        <v>45.8</v>
      </c>
      <c r="L237" s="29">
        <f t="shared" si="108"/>
        <v>50</v>
      </c>
      <c r="M237" s="78" t="str">
        <f t="shared" si="109"/>
        <v>M16x50-HDG-8.8</v>
      </c>
      <c r="N237" s="29">
        <f t="shared" si="110"/>
        <v>42</v>
      </c>
      <c r="O237" s="29">
        <f t="shared" si="111"/>
        <v>42</v>
      </c>
      <c r="P237" s="29">
        <v>0</v>
      </c>
      <c r="Q237" s="29">
        <f t="shared" si="112"/>
        <v>84</v>
      </c>
      <c r="R237" s="29">
        <f t="shared" si="113"/>
        <v>0</v>
      </c>
    </row>
    <row r="238" spans="1:20" x14ac:dyDescent="0.25">
      <c r="C238" s="3"/>
      <c r="F238" s="3"/>
      <c r="G238" s="3"/>
      <c r="H238" s="3"/>
      <c r="I238" s="3"/>
      <c r="J238" s="3"/>
      <c r="K238" s="3"/>
      <c r="L238" s="3"/>
      <c r="M238" s="78"/>
    </row>
    <row r="239" spans="1:20" x14ac:dyDescent="0.25">
      <c r="A239" s="59"/>
      <c r="B239" s="128" t="s">
        <v>722</v>
      </c>
      <c r="C239" s="123"/>
      <c r="D239" s="125"/>
      <c r="E239" s="125"/>
      <c r="F239" s="123"/>
      <c r="G239" s="123"/>
      <c r="H239" s="123"/>
      <c r="I239" s="123"/>
      <c r="J239" s="123"/>
      <c r="K239" s="123"/>
      <c r="L239" s="123"/>
      <c r="M239" s="147"/>
      <c r="N239" s="123"/>
      <c r="O239" s="123"/>
      <c r="P239" s="123"/>
      <c r="Q239" s="123"/>
      <c r="R239" s="123"/>
      <c r="S239" s="126"/>
      <c r="T239" s="127"/>
    </row>
    <row r="240" spans="1:20" x14ac:dyDescent="0.25">
      <c r="B240" s="79" t="s">
        <v>723</v>
      </c>
      <c r="C240" s="73">
        <v>10</v>
      </c>
      <c r="D240" s="182" t="s">
        <v>724</v>
      </c>
      <c r="E240" s="29"/>
      <c r="F240" s="29" t="s">
        <v>24</v>
      </c>
      <c r="G240" s="182">
        <v>300</v>
      </c>
      <c r="H240" s="181"/>
      <c r="I240" s="181"/>
      <c r="J240" s="29"/>
      <c r="K240" s="29">
        <v>320</v>
      </c>
      <c r="L240" s="29">
        <v>320</v>
      </c>
      <c r="M240" s="78" t="str">
        <f>(CONCATENATE(F240,"x",L240,"-",IF(F240=$K$1,$C$4,IF(F240=$L$1,$C$4,IF(F240=$M$1,$C$4,IF(F240=$N$1,$C$4,IF(F240=$O$1,$C$4,IF(F240=$P$1,$C$5,IF(F240=$Q$1,$C$5,IF(F240=$R$1,$C$5,IF(F240=$S$1,$C$5)))))))))))</f>
        <v>M24x320-HDG-8.8</v>
      </c>
      <c r="N240" s="29">
        <f>C240*1</f>
        <v>10</v>
      </c>
      <c r="O240" s="29">
        <f>C240*2</f>
        <v>20</v>
      </c>
      <c r="P240" s="29">
        <v>0</v>
      </c>
      <c r="Q240" s="29">
        <f>C240*2</f>
        <v>20</v>
      </c>
      <c r="R240" s="29">
        <f>C240*1</f>
        <v>10</v>
      </c>
    </row>
    <row r="241" spans="2:18" x14ac:dyDescent="0.25">
      <c r="B241" s="79" t="s">
        <v>725</v>
      </c>
      <c r="C241" s="73">
        <v>20</v>
      </c>
      <c r="D241" s="183"/>
      <c r="E241" s="29"/>
      <c r="F241" s="29" t="s">
        <v>23</v>
      </c>
      <c r="G241" s="182">
        <v>250</v>
      </c>
      <c r="H241" s="181"/>
      <c r="I241" s="181"/>
      <c r="J241" s="29"/>
      <c r="K241" s="29">
        <v>270</v>
      </c>
      <c r="L241" s="29">
        <v>270</v>
      </c>
      <c r="M241" s="78" t="str">
        <f>(CONCATENATE(F241,"x",L241,"-",IF(F241=$K$1,$C$4,IF(F241=$L$1,$C$4,IF(F241=$M$1,$C$4,IF(F241=$N$1,$C$4,IF(F241=$O$1,$C$4,IF(F241=$P$1,$C$5,IF(F241=$Q$1,$C$5,IF(F241=$R$1,$C$5,IF(F241=$S$1,$C$5)))))))))))</f>
        <v>M20x270-HDG-8.8</v>
      </c>
      <c r="N241" s="29">
        <f>C241*1</f>
        <v>20</v>
      </c>
      <c r="O241" s="29">
        <f>C241*2</f>
        <v>40</v>
      </c>
      <c r="P241" s="29">
        <v>0</v>
      </c>
      <c r="Q241" s="29">
        <f>C241*2</f>
        <v>40</v>
      </c>
      <c r="R241" s="29">
        <f>C241*1</f>
        <v>20</v>
      </c>
    </row>
    <row r="242" spans="2:18" x14ac:dyDescent="0.25">
      <c r="B242" s="79" t="s">
        <v>726</v>
      </c>
      <c r="C242" s="73">
        <v>30</v>
      </c>
      <c r="D242" s="183"/>
      <c r="E242" s="29"/>
      <c r="F242" s="29" t="s">
        <v>22</v>
      </c>
      <c r="G242" s="182">
        <v>200</v>
      </c>
      <c r="H242" s="181"/>
      <c r="I242" s="181"/>
      <c r="J242" s="29"/>
      <c r="K242" s="29">
        <v>220</v>
      </c>
      <c r="L242" s="29">
        <v>220</v>
      </c>
      <c r="M242" s="78" t="str">
        <f>(CONCATENATE(F242,"x",L242,"-",IF(F242=$K$1,$C$4,IF(F242=$L$1,$C$4,IF(F242=$M$1,$C$4,IF(F242=$N$1,$C$4,IF(F242=$O$1,$C$4,IF(F242=$P$1,$C$5,IF(F242=$Q$1,$C$5,IF(F242=$R$1,$C$5,IF(F242=$S$1,$C$5)))))))))))</f>
        <v>M16x220-HDG-8.8</v>
      </c>
      <c r="N242" s="29">
        <f>C242*1</f>
        <v>30</v>
      </c>
      <c r="O242" s="29">
        <f>C242*2</f>
        <v>60</v>
      </c>
      <c r="P242" s="29">
        <v>0</v>
      </c>
      <c r="Q242" s="29">
        <f>C242*2</f>
        <v>60</v>
      </c>
      <c r="R242" s="29">
        <f>C242*1</f>
        <v>30</v>
      </c>
    </row>
    <row r="243" spans="2:18" x14ac:dyDescent="0.25">
      <c r="B243" s="79" t="s">
        <v>727</v>
      </c>
      <c r="C243" s="73">
        <v>40</v>
      </c>
      <c r="D243" s="183"/>
      <c r="E243" s="29"/>
      <c r="F243" s="29" t="s">
        <v>21</v>
      </c>
      <c r="G243" s="182">
        <v>200</v>
      </c>
      <c r="H243" s="181"/>
      <c r="I243" s="181"/>
      <c r="J243" s="29"/>
      <c r="K243" s="29">
        <v>220</v>
      </c>
      <c r="L243" s="29">
        <v>220</v>
      </c>
      <c r="M243" s="78" t="str">
        <f>(CONCATENATE(F243,"x",L243,"-",IF(F243=$K$1,$C$4,IF(F243=$L$1,$C$4,IF(F243=$M$1,$C$4,IF(F243=$N$1,$C$4,IF(F243=$O$1,$C$4,IF(F243=$P$1,$C$5,IF(F243=$Q$1,$C$5,IF(F243=$R$1,$C$5,IF(F243=$S$1,$C$5)))))))))))</f>
        <v>M12x220-HDG-8.8</v>
      </c>
      <c r="N243" s="29">
        <f>C243*1</f>
        <v>40</v>
      </c>
      <c r="O243" s="29">
        <f>C243*2</f>
        <v>80</v>
      </c>
      <c r="P243" s="29">
        <v>0</v>
      </c>
      <c r="Q243" s="29">
        <f>C243*2</f>
        <v>80</v>
      </c>
      <c r="R243" s="29">
        <f>C243*1</f>
        <v>40</v>
      </c>
    </row>
    <row r="244" spans="2:18" x14ac:dyDescent="0.25">
      <c r="C244" s="29"/>
      <c r="F244" s="29"/>
      <c r="G244" s="29"/>
      <c r="H244" s="29"/>
      <c r="I244" s="29"/>
      <c r="J244" s="29"/>
      <c r="K244" s="3"/>
      <c r="L244" s="3"/>
    </row>
    <row r="245" spans="2:18" x14ac:dyDescent="0.25">
      <c r="C245" s="29"/>
      <c r="F245" s="29"/>
      <c r="G245" s="29"/>
      <c r="H245" s="29"/>
      <c r="I245" s="29"/>
      <c r="J245" s="29"/>
      <c r="K245" s="3"/>
      <c r="L245" s="3"/>
    </row>
    <row r="246" spans="2:18" x14ac:dyDescent="0.25">
      <c r="C246" s="29"/>
      <c r="F246" s="29"/>
      <c r="G246" s="29"/>
      <c r="H246" s="29"/>
      <c r="I246" s="29"/>
      <c r="J246" s="29"/>
      <c r="K246" s="3"/>
      <c r="L246" s="3"/>
      <c r="N246" s="3">
        <f>SUM(N15:N243)</f>
        <v>3538</v>
      </c>
    </row>
    <row r="247" spans="2:18" x14ac:dyDescent="0.25">
      <c r="C247" s="29"/>
      <c r="F247" s="29"/>
      <c r="G247" s="29"/>
      <c r="H247" s="29"/>
      <c r="I247" s="29"/>
      <c r="J247" s="29"/>
      <c r="K247" s="3"/>
      <c r="L247" s="3"/>
    </row>
    <row r="248" spans="2:18" x14ac:dyDescent="0.25">
      <c r="C248" s="29"/>
      <c r="F248" s="29"/>
      <c r="G248" s="29"/>
      <c r="H248" s="29"/>
      <c r="I248" s="29"/>
      <c r="J248" s="29"/>
      <c r="K248" s="3"/>
      <c r="L248" s="3"/>
    </row>
    <row r="249" spans="2:18" ht="45" customHeight="1" x14ac:dyDescent="0.25">
      <c r="B249" s="158" t="s">
        <v>728</v>
      </c>
      <c r="C249" s="160" t="s">
        <v>729</v>
      </c>
      <c r="D249" s="160" t="s">
        <v>730</v>
      </c>
      <c r="F249" s="29"/>
      <c r="G249" s="29"/>
      <c r="H249" s="29"/>
      <c r="I249" s="29"/>
      <c r="J249" s="29"/>
      <c r="K249" s="3"/>
      <c r="L249" s="3"/>
    </row>
    <row r="250" spans="2:18" x14ac:dyDescent="0.25">
      <c r="B250" s="158" t="s">
        <v>731</v>
      </c>
      <c r="C250" s="194" t="s">
        <v>732</v>
      </c>
      <c r="D250" s="159">
        <f>CL52</f>
        <v>0</v>
      </c>
      <c r="F250" s="29"/>
      <c r="G250" s="29"/>
      <c r="H250" s="29"/>
      <c r="I250" s="29"/>
      <c r="J250" s="29"/>
      <c r="K250" s="3"/>
      <c r="L250" s="3"/>
    </row>
    <row r="251" spans="2:18" x14ac:dyDescent="0.25">
      <c r="B251" s="158" t="s">
        <v>733</v>
      </c>
      <c r="C251" s="193"/>
      <c r="D251" s="159">
        <f>CR52</f>
        <v>2</v>
      </c>
      <c r="F251" s="29"/>
      <c r="G251" s="29"/>
      <c r="H251" s="29"/>
      <c r="I251" s="29"/>
      <c r="J251" s="29"/>
      <c r="K251" s="3"/>
      <c r="L251" s="3"/>
    </row>
    <row r="252" spans="2:18" x14ac:dyDescent="0.25">
      <c r="B252" s="158" t="s">
        <v>734</v>
      </c>
      <c r="C252" s="163" t="s">
        <v>732</v>
      </c>
      <c r="D252" s="159">
        <f>CV29</f>
        <v>0</v>
      </c>
    </row>
    <row r="253" spans="2:18" x14ac:dyDescent="0.25">
      <c r="B253" s="158" t="s">
        <v>735</v>
      </c>
      <c r="C253" s="193"/>
      <c r="D253" s="159">
        <f>DB29</f>
        <v>0</v>
      </c>
    </row>
    <row r="254" spans="2:18" x14ac:dyDescent="0.25">
      <c r="B254" s="158" t="s">
        <v>395</v>
      </c>
      <c r="C254" s="7">
        <f>N246</f>
        <v>3538</v>
      </c>
      <c r="D254" s="159">
        <f>SUM(D250:D253)</f>
        <v>2</v>
      </c>
    </row>
    <row r="255" spans="2:18" hidden="1" x14ac:dyDescent="0.25"/>
    <row r="256" spans="2:18" hidden="1" x14ac:dyDescent="0.25">
      <c r="C256" t="str">
        <f>CONCATENATE("S-M5x20-",B256)</f>
        <v>S-M5x20-</v>
      </c>
      <c r="F256" t="e">
        <f>#REF!</f>
        <v>#REF!</v>
      </c>
      <c r="H256" t="e">
        <f>SUMIF(M15:M242,#REF!,#REF!)</f>
        <v>#REF!</v>
      </c>
      <c r="M256" s="58" t="e">
        <f>CONCATENATE("M5x20-",#REF!)</f>
        <v>#REF!</v>
      </c>
      <c r="O256" s="3" t="e">
        <f>SUMIF(#REF!,#REF!,O15:O242)</f>
        <v>#REF!</v>
      </c>
      <c r="Q256" s="3" t="e">
        <f>SUMIF(#REF!,#REF!,Q15:Q242)</f>
        <v>#REF!</v>
      </c>
      <c r="R256" s="3" t="e">
        <f>SUMIF(#REF!,#REF!,R15:R242)</f>
        <v>#REF!</v>
      </c>
    </row>
    <row r="257" spans="3:18" hidden="1" x14ac:dyDescent="0.25">
      <c r="C257" t="str">
        <f>CONCATENATE("S-M5x25-",B257)</f>
        <v>S-M5x25-</v>
      </c>
      <c r="F257" t="e">
        <f>#REF!</f>
        <v>#REF!</v>
      </c>
      <c r="H257" t="e">
        <f>SUMIF(M15:M242,#REF!,#REF!)</f>
        <v>#REF!</v>
      </c>
      <c r="M257" s="58" t="e">
        <f>CONCATENATE("M5x25-",#REF!)</f>
        <v>#REF!</v>
      </c>
      <c r="O257" s="3" t="e">
        <f>SUMIF(#REF!,#REF!,O15:O242)</f>
        <v>#REF!</v>
      </c>
      <c r="Q257" s="3" t="e">
        <f>SUMIF(#REF!,#REF!,Q15:Q242)</f>
        <v>#REF!</v>
      </c>
      <c r="R257" s="3" t="e">
        <f>SUMIF(#REF!,#REF!,R15:R242)</f>
        <v>#REF!</v>
      </c>
    </row>
    <row r="258" spans="3:18" hidden="1" x14ac:dyDescent="0.25">
      <c r="C258" t="str">
        <f>CONCATENATE("S-M5x30-",B258)</f>
        <v>S-M5x30-</v>
      </c>
      <c r="F258" t="e">
        <f>#REF!</f>
        <v>#REF!</v>
      </c>
      <c r="H258" t="e">
        <f>SUMIF(M15:M242,#REF!,#REF!)</f>
        <v>#REF!</v>
      </c>
      <c r="M258" s="58" t="e">
        <f>CONCATENATE("M5x30-",#REF!)</f>
        <v>#REF!</v>
      </c>
      <c r="O258" s="3" t="e">
        <f>SUMIF(#REF!,#REF!,O15:O242)</f>
        <v>#REF!</v>
      </c>
      <c r="Q258" s="3" t="e">
        <f>SUMIF(#REF!,#REF!,Q15:Q242)</f>
        <v>#REF!</v>
      </c>
      <c r="R258" s="3" t="e">
        <f>SUMIF(#REF!,#REF!,R15:R242)</f>
        <v>#REF!</v>
      </c>
    </row>
    <row r="259" spans="3:18" hidden="1" x14ac:dyDescent="0.25">
      <c r="C259" t="str">
        <f>CONCATENATE("S-M5x35-",B259)</f>
        <v>S-M5x35-</v>
      </c>
      <c r="F259" t="e">
        <f>#REF!</f>
        <v>#REF!</v>
      </c>
      <c r="H259" t="e">
        <f>SUMIF(M15:M242,#REF!,#REF!)</f>
        <v>#REF!</v>
      </c>
      <c r="M259" s="58" t="e">
        <f>CONCATENATE("M5x35-",#REF!)</f>
        <v>#REF!</v>
      </c>
      <c r="O259" s="3" t="e">
        <f>SUMIF(#REF!,#REF!,O15:O242)</f>
        <v>#REF!</v>
      </c>
      <c r="Q259" s="3" t="e">
        <f>SUMIF(#REF!,#REF!,Q15:Q242)</f>
        <v>#REF!</v>
      </c>
      <c r="R259" s="3" t="e">
        <f>SUMIF(#REF!,#REF!,R15:R242)</f>
        <v>#REF!</v>
      </c>
    </row>
    <row r="260" spans="3:18" hidden="1" x14ac:dyDescent="0.25">
      <c r="C260" t="str">
        <f>CONCATENATE("S-M5x40-",B260)</f>
        <v>S-M5x40-</v>
      </c>
      <c r="F260" t="e">
        <f>#REF!</f>
        <v>#REF!</v>
      </c>
      <c r="H260" t="e">
        <f>SUMIF(M15:M242,#REF!,#REF!)</f>
        <v>#REF!</v>
      </c>
      <c r="M260" s="58" t="e">
        <f>CONCATENATE("M5x40-",#REF!)</f>
        <v>#REF!</v>
      </c>
      <c r="O260" s="3" t="e">
        <f>SUMIF(#REF!,#REF!,O15:O242)</f>
        <v>#REF!</v>
      </c>
      <c r="Q260" s="3" t="e">
        <f>SUMIF(#REF!,#REF!,Q15:Q242)</f>
        <v>#REF!</v>
      </c>
      <c r="R260" s="3" t="e">
        <f>SUMIF(#REF!,#REF!,R15:R242)</f>
        <v>#REF!</v>
      </c>
    </row>
    <row r="261" spans="3:18" hidden="1" x14ac:dyDescent="0.25">
      <c r="C261" t="str">
        <f>CONCATENATE("S-M5x45-",B261)</f>
        <v>S-M5x45-</v>
      </c>
      <c r="F261" t="e">
        <f>#REF!</f>
        <v>#REF!</v>
      </c>
      <c r="H261" t="e">
        <f>SUMIF(M15:M242,#REF!,#REF!)</f>
        <v>#REF!</v>
      </c>
      <c r="M261" s="58" t="e">
        <f>CONCATENATE("M5x45-",#REF!)</f>
        <v>#REF!</v>
      </c>
      <c r="O261" s="3" t="e">
        <f>SUMIF(#REF!,#REF!,O15:O242)</f>
        <v>#REF!</v>
      </c>
      <c r="Q261" s="3" t="e">
        <f>SUMIF(#REF!,#REF!,Q15:Q242)</f>
        <v>#REF!</v>
      </c>
      <c r="R261" s="3" t="e">
        <f>SUMIF(#REF!,#REF!,R15:R242)</f>
        <v>#REF!</v>
      </c>
    </row>
    <row r="262" spans="3:18" hidden="1" x14ac:dyDescent="0.25">
      <c r="C262" t="str">
        <f>CONCATENATE("S-M5x50-",B262)</f>
        <v>S-M5x50-</v>
      </c>
      <c r="F262" t="e">
        <f>#REF!</f>
        <v>#REF!</v>
      </c>
      <c r="H262" t="e">
        <f>SUMIF(M15:M242,#REF!,#REF!)</f>
        <v>#REF!</v>
      </c>
      <c r="M262" s="58" t="e">
        <f>CONCATENATE("M5x50-",#REF!)</f>
        <v>#REF!</v>
      </c>
      <c r="O262" s="3" t="e">
        <f>SUMIF(#REF!,#REF!,O15:O242)</f>
        <v>#REF!</v>
      </c>
      <c r="Q262" s="3" t="e">
        <f>SUMIF(#REF!,#REF!,Q15:Q242)</f>
        <v>#REF!</v>
      </c>
      <c r="R262" s="3" t="e">
        <f>SUMIF(#REF!,#REF!,R15:R242)</f>
        <v>#REF!</v>
      </c>
    </row>
    <row r="263" spans="3:18" hidden="1" x14ac:dyDescent="0.25">
      <c r="C263" t="str">
        <f>CONCATENATE("S-M6x25-",B263)</f>
        <v>S-M6x25-</v>
      </c>
      <c r="F263" t="e">
        <f>#REF!</f>
        <v>#REF!</v>
      </c>
      <c r="H263" t="e">
        <f>SUMIF(M15:M242,#REF!,#REF!)</f>
        <v>#REF!</v>
      </c>
      <c r="M263" s="58" t="e">
        <f>CONCATENATE("M6x25-",#REF!)</f>
        <v>#REF!</v>
      </c>
      <c r="O263" s="3" t="e">
        <f>SUMIF(#REF!,#REF!,O15:O242)</f>
        <v>#REF!</v>
      </c>
      <c r="Q263" s="3" t="e">
        <f>SUMIF(#REF!,#REF!,Q15:Q242)</f>
        <v>#REF!</v>
      </c>
      <c r="R263" s="3" t="e">
        <f>SUMIF(#REF!,#REF!,R15:R242)</f>
        <v>#REF!</v>
      </c>
    </row>
    <row r="264" spans="3:18" hidden="1" x14ac:dyDescent="0.25">
      <c r="C264" t="str">
        <f>CONCATENATE("S-M6x30-",B264)</f>
        <v>S-M6x30-</v>
      </c>
      <c r="F264" t="e">
        <f>#REF!</f>
        <v>#REF!</v>
      </c>
      <c r="H264" t="e">
        <f>SUMIF(M15:M242,#REF!,#REF!)</f>
        <v>#REF!</v>
      </c>
      <c r="M264" s="58" t="e">
        <f>CONCATENATE("M6x30-",#REF!)</f>
        <v>#REF!</v>
      </c>
      <c r="O264" s="3" t="e">
        <f>SUMIF(#REF!,#REF!,O15:O242)</f>
        <v>#REF!</v>
      </c>
      <c r="Q264" s="3" t="e">
        <f>SUMIF(#REF!,#REF!,Q15:Q242)</f>
        <v>#REF!</v>
      </c>
      <c r="R264" s="3" t="e">
        <f>SUMIF(#REF!,#REF!,R15:R242)</f>
        <v>#REF!</v>
      </c>
    </row>
    <row r="265" spans="3:18" hidden="1" x14ac:dyDescent="0.25">
      <c r="C265" t="str">
        <f>CONCATENATE("S-M6x35-",B265)</f>
        <v>S-M6x35-</v>
      </c>
      <c r="F265" t="e">
        <f>#REF!</f>
        <v>#REF!</v>
      </c>
      <c r="H265" t="e">
        <f>SUMIF(M15:M242,#REF!,#REF!)</f>
        <v>#REF!</v>
      </c>
      <c r="M265" s="58" t="e">
        <f>CONCATENATE("M6x35-",#REF!)</f>
        <v>#REF!</v>
      </c>
      <c r="O265" s="3" t="e">
        <f>SUMIF(#REF!,#REF!,O15:O242)</f>
        <v>#REF!</v>
      </c>
      <c r="Q265" s="3" t="e">
        <f>SUMIF(#REF!,#REF!,Q15:Q242)</f>
        <v>#REF!</v>
      </c>
      <c r="R265" s="3" t="e">
        <f>SUMIF(#REF!,#REF!,R15:R242)</f>
        <v>#REF!</v>
      </c>
    </row>
    <row r="266" spans="3:18" hidden="1" x14ac:dyDescent="0.25">
      <c r="C266" t="str">
        <f>CONCATENATE("S-M6x40-",B266)</f>
        <v>S-M6x40-</v>
      </c>
      <c r="F266" t="e">
        <f>#REF!</f>
        <v>#REF!</v>
      </c>
      <c r="H266" t="e">
        <f>SUMIF(M15:M242,#REF!,#REF!)</f>
        <v>#REF!</v>
      </c>
      <c r="M266" s="58" t="e">
        <f>CONCATENATE("M6x40-",#REF!)</f>
        <v>#REF!</v>
      </c>
    </row>
    <row r="267" spans="3:18" hidden="1" x14ac:dyDescent="0.25">
      <c r="C267" t="str">
        <f>CONCATENATE("S-M6x45-",B267)</f>
        <v>S-M6x45-</v>
      </c>
      <c r="F267" t="e">
        <f>#REF!</f>
        <v>#REF!</v>
      </c>
      <c r="H267" t="e">
        <f>SUMIF(M15:M242,#REF!,#REF!)</f>
        <v>#REF!</v>
      </c>
      <c r="M267" s="58" t="e">
        <f>CONCATENATE("M6x45-",#REF!)</f>
        <v>#REF!</v>
      </c>
    </row>
    <row r="268" spans="3:18" hidden="1" x14ac:dyDescent="0.25">
      <c r="C268" t="str">
        <f>CONCATENATE("S-M6x50-",B268)</f>
        <v>S-M6x50-</v>
      </c>
      <c r="F268" t="e">
        <f>#REF!</f>
        <v>#REF!</v>
      </c>
      <c r="H268" t="e">
        <f>SUMIF(M15:M242,#REF!,#REF!)</f>
        <v>#REF!</v>
      </c>
      <c r="M268" s="58" t="e">
        <f>CONCATENATE("M6x50-",#REF!)</f>
        <v>#REF!</v>
      </c>
    </row>
    <row r="269" spans="3:18" hidden="1" x14ac:dyDescent="0.25">
      <c r="C269" t="str">
        <f>CONCATENATE("S-M6x55-",B269)</f>
        <v>S-M6x55-</v>
      </c>
      <c r="F269" t="e">
        <f>#REF!</f>
        <v>#REF!</v>
      </c>
      <c r="H269" t="e">
        <f>SUMIF(M15:M242,#REF!,#REF!)</f>
        <v>#REF!</v>
      </c>
      <c r="M269" s="58" t="e">
        <f>CONCATENATE("M6x55-",#REF!)</f>
        <v>#REF!</v>
      </c>
    </row>
    <row r="270" spans="3:18" hidden="1" x14ac:dyDescent="0.25">
      <c r="C270" t="str">
        <f>CONCATENATE("S-M6x60-",B270)</f>
        <v>S-M6x60-</v>
      </c>
      <c r="F270" t="e">
        <f>#REF!</f>
        <v>#REF!</v>
      </c>
      <c r="H270" t="e">
        <f>SUMIF(M15:M242,#REF!,#REF!)</f>
        <v>#REF!</v>
      </c>
      <c r="M270" s="58" t="e">
        <f>CONCATENATE("M6x60-",#REF!)</f>
        <v>#REF!</v>
      </c>
    </row>
    <row r="271" spans="3:18" hidden="1" x14ac:dyDescent="0.25">
      <c r="C271" t="str">
        <f>CONCATENATE("S-M8x25-",B271)</f>
        <v>S-M8x25-</v>
      </c>
      <c r="F271" t="e">
        <f>#REF!</f>
        <v>#REF!</v>
      </c>
      <c r="H271" t="e">
        <f>SUMIF(M15:M242,#REF!,#REF!)</f>
        <v>#REF!</v>
      </c>
      <c r="M271" s="58" t="e">
        <f>CONCATENATE("M8x25-",#REF!)</f>
        <v>#REF!</v>
      </c>
    </row>
    <row r="272" spans="3:18" hidden="1" x14ac:dyDescent="0.25">
      <c r="C272" t="str">
        <f>CONCATENATE("S-M8x30-",B272)</f>
        <v>S-M8x30-</v>
      </c>
      <c r="F272" t="e">
        <f>#REF!</f>
        <v>#REF!</v>
      </c>
      <c r="H272" t="e">
        <f>SUMIF(M15:M242,#REF!,#REF!)</f>
        <v>#REF!</v>
      </c>
      <c r="M272" s="58" t="e">
        <f>CONCATENATE("M8x30-",#REF!)</f>
        <v>#REF!</v>
      </c>
    </row>
    <row r="273" spans="3:13" hidden="1" x14ac:dyDescent="0.25">
      <c r="C273" t="str">
        <f>CONCATENATE("S-M8x35-",B273)</f>
        <v>S-M8x35-</v>
      </c>
      <c r="F273" t="e">
        <f>#REF!</f>
        <v>#REF!</v>
      </c>
      <c r="H273" t="e">
        <f>SUMIF(M15:M242,#REF!,#REF!)</f>
        <v>#REF!</v>
      </c>
      <c r="M273" s="58" t="e">
        <f>CONCATENATE("M8x35-",#REF!)</f>
        <v>#REF!</v>
      </c>
    </row>
    <row r="274" spans="3:13" hidden="1" x14ac:dyDescent="0.25">
      <c r="C274" t="str">
        <f>CONCATENATE("S-M8x40-",B274)</f>
        <v>S-M8x40-</v>
      </c>
      <c r="F274" t="e">
        <f>#REF!</f>
        <v>#REF!</v>
      </c>
      <c r="H274" t="e">
        <f>SUMIF(M15:M242,#REF!,#REF!)</f>
        <v>#REF!</v>
      </c>
      <c r="M274" s="58" t="e">
        <f>CONCATENATE("M8x40-",#REF!)</f>
        <v>#REF!</v>
      </c>
    </row>
    <row r="275" spans="3:13" hidden="1" x14ac:dyDescent="0.25">
      <c r="C275" t="str">
        <f>CONCATENATE("S-M8x45-",B275)</f>
        <v>S-M8x45-</v>
      </c>
      <c r="F275" t="e">
        <f>#REF!</f>
        <v>#REF!</v>
      </c>
      <c r="H275" t="e">
        <f>SUMIF(M15:M242,#REF!,#REF!)</f>
        <v>#REF!</v>
      </c>
      <c r="M275" s="58" t="e">
        <f>CONCATENATE("M8x45-",#REF!)</f>
        <v>#REF!</v>
      </c>
    </row>
    <row r="276" spans="3:13" hidden="1" x14ac:dyDescent="0.25">
      <c r="C276" t="str">
        <f>CONCATENATE("S-M8x50-",B276)</f>
        <v>S-M8x50-</v>
      </c>
      <c r="F276" t="e">
        <f>#REF!</f>
        <v>#REF!</v>
      </c>
      <c r="H276" t="e">
        <f>SUMIF(M15:M242,#REF!,#REF!)</f>
        <v>#REF!</v>
      </c>
      <c r="M276" s="58" t="e">
        <f>CONCATENATE("M8x50-",#REF!)</f>
        <v>#REF!</v>
      </c>
    </row>
    <row r="277" spans="3:13" hidden="1" x14ac:dyDescent="0.25">
      <c r="C277" t="str">
        <f>CONCATENATE("S-M8x55-",B277)</f>
        <v>S-M8x55-</v>
      </c>
      <c r="F277" t="e">
        <f>#REF!</f>
        <v>#REF!</v>
      </c>
      <c r="H277" t="e">
        <f>SUMIF(M15:M242,#REF!,#REF!)</f>
        <v>#REF!</v>
      </c>
      <c r="M277" s="58" t="e">
        <f>CONCATENATE("M8x55-",#REF!)</f>
        <v>#REF!</v>
      </c>
    </row>
    <row r="278" spans="3:13" hidden="1" x14ac:dyDescent="0.25">
      <c r="C278" t="str">
        <f>CONCATENATE("S-M8x60-",B278)</f>
        <v>S-M8x60-</v>
      </c>
      <c r="F278" t="e">
        <f>#REF!</f>
        <v>#REF!</v>
      </c>
      <c r="H278" t="e">
        <f>SUMIF(M15:M242,#REF!,#REF!)</f>
        <v>#REF!</v>
      </c>
      <c r="M278" s="58" t="e">
        <f>CONCATENATE("M8x60-",#REF!)</f>
        <v>#REF!</v>
      </c>
    </row>
    <row r="279" spans="3:13" hidden="1" x14ac:dyDescent="0.25">
      <c r="C279" t="str">
        <f>CONCATENATE("S-M8x65-",B279)</f>
        <v>S-M8x65-</v>
      </c>
      <c r="F279" t="e">
        <f>#REF!</f>
        <v>#REF!</v>
      </c>
      <c r="H279" t="e">
        <f>SUMIF(M15:M242,#REF!,#REF!)</f>
        <v>#REF!</v>
      </c>
    </row>
    <row r="280" spans="3:13" hidden="1" x14ac:dyDescent="0.25">
      <c r="C280" t="str">
        <f>CONCATENATE("S-M8x70-",B280)</f>
        <v>S-M8x70-</v>
      </c>
      <c r="F280" t="e">
        <f>#REF!</f>
        <v>#REF!</v>
      </c>
      <c r="H280" t="e">
        <f>SUMIF(M15:M242,#REF!,#REF!)</f>
        <v>#REF!</v>
      </c>
    </row>
    <row r="281" spans="3:13" hidden="1" x14ac:dyDescent="0.25">
      <c r="C281" t="str">
        <f>CONCATENATE("S-M8x75-",B281)</f>
        <v>S-M8x75-</v>
      </c>
      <c r="F281" t="e">
        <f>#REF!</f>
        <v>#REF!</v>
      </c>
      <c r="H281" t="e">
        <f>SUMIF(M15:M242,#REF!,#REF!)</f>
        <v>#REF!</v>
      </c>
    </row>
    <row r="282" spans="3:13" hidden="1" x14ac:dyDescent="0.25">
      <c r="C282" t="str">
        <f>CONCATENATE("S-M8x80-",B282)</f>
        <v>S-M8x80-</v>
      </c>
      <c r="F282" t="e">
        <f>#REF!</f>
        <v>#REF!</v>
      </c>
      <c r="H282" t="e">
        <f>SUMIF(M15:M242,#REF!,#REF!)</f>
        <v>#REF!</v>
      </c>
    </row>
    <row r="283" spans="3:13" hidden="1" x14ac:dyDescent="0.25">
      <c r="C283" t="str">
        <f>CONCATENATE("S-M10x25-",B283)</f>
        <v>S-M10x25-</v>
      </c>
      <c r="F283" t="e">
        <f>#REF!</f>
        <v>#REF!</v>
      </c>
      <c r="H283" t="e">
        <f>SUMIF(M15:M242,#REF!,#REF!)</f>
        <v>#REF!</v>
      </c>
      <c r="M283" s="58" t="e">
        <f>CONCATENATE("M10x25-",#REF!)</f>
        <v>#REF!</v>
      </c>
    </row>
    <row r="284" spans="3:13" hidden="1" x14ac:dyDescent="0.25">
      <c r="C284" t="str">
        <f>CONCATENATE("S-M10x30-",B284)</f>
        <v>S-M10x30-</v>
      </c>
      <c r="F284" t="e">
        <f>#REF!</f>
        <v>#REF!</v>
      </c>
      <c r="H284" t="e">
        <f>SUMIF(M15:M242,#REF!,#REF!)</f>
        <v>#REF!</v>
      </c>
      <c r="M284" s="58" t="e">
        <f>CONCATENATE("M10x30-",#REF!)</f>
        <v>#REF!</v>
      </c>
    </row>
    <row r="285" spans="3:13" hidden="1" x14ac:dyDescent="0.25">
      <c r="C285" t="str">
        <f>CONCATENATE("S-M10x35-",B285)</f>
        <v>S-M10x35-</v>
      </c>
      <c r="F285" t="e">
        <f>#REF!</f>
        <v>#REF!</v>
      </c>
      <c r="H285" t="e">
        <f>SUMIF(M15:M242,#REF!,#REF!)</f>
        <v>#REF!</v>
      </c>
      <c r="M285" s="58" t="e">
        <f>CONCATENATE("M10x35-",#REF!)</f>
        <v>#REF!</v>
      </c>
    </row>
    <row r="286" spans="3:13" hidden="1" x14ac:dyDescent="0.25">
      <c r="C286" t="str">
        <f>CONCATENATE("S-M10x40-",B286)</f>
        <v>S-M10x40-</v>
      </c>
      <c r="F286" t="e">
        <f>#REF!</f>
        <v>#REF!</v>
      </c>
      <c r="H286" t="e">
        <f>SUMIF(M15:M242,#REF!,#REF!)</f>
        <v>#REF!</v>
      </c>
      <c r="M286" s="58" t="e">
        <f>CONCATENATE("M10x40-",#REF!)</f>
        <v>#REF!</v>
      </c>
    </row>
    <row r="287" spans="3:13" hidden="1" x14ac:dyDescent="0.25">
      <c r="C287" t="str">
        <f>CONCATENATE("S-M10x45-",B287)</f>
        <v>S-M10x45-</v>
      </c>
      <c r="F287" t="e">
        <f>#REF!</f>
        <v>#REF!</v>
      </c>
      <c r="H287" t="e">
        <f>SUMIF(M15:M242,#REF!,#REF!)</f>
        <v>#REF!</v>
      </c>
      <c r="M287" s="58" t="e">
        <f>CONCATENATE("M10x45-",#REF!)</f>
        <v>#REF!</v>
      </c>
    </row>
    <row r="288" spans="3:13" hidden="1" x14ac:dyDescent="0.25">
      <c r="C288" t="str">
        <f>CONCATENATE("S-M10x50-",B288)</f>
        <v>S-M10x50-</v>
      </c>
      <c r="F288" t="e">
        <f>#REF!</f>
        <v>#REF!</v>
      </c>
      <c r="H288" t="e">
        <f>SUMIF(M15:M242,#REF!,#REF!)</f>
        <v>#REF!</v>
      </c>
      <c r="M288" s="58" t="e">
        <f>CONCATENATE("M10x50-",#REF!)</f>
        <v>#REF!</v>
      </c>
    </row>
    <row r="289" spans="3:13" hidden="1" x14ac:dyDescent="0.25">
      <c r="C289" t="str">
        <f>CONCATENATE("S-M10x55-",B289)</f>
        <v>S-M10x55-</v>
      </c>
      <c r="F289" t="e">
        <f>#REF!</f>
        <v>#REF!</v>
      </c>
      <c r="H289" t="e">
        <f>SUMIF(M15:M242,#REF!,#REF!)</f>
        <v>#REF!</v>
      </c>
      <c r="M289" s="58" t="e">
        <f>CONCATENATE("M10x55-",#REF!)</f>
        <v>#REF!</v>
      </c>
    </row>
    <row r="290" spans="3:13" hidden="1" x14ac:dyDescent="0.25">
      <c r="C290" t="str">
        <f>CONCATENATE("S-M10x60-",B290)</f>
        <v>S-M10x60-</v>
      </c>
      <c r="F290" t="e">
        <f>#REF!</f>
        <v>#REF!</v>
      </c>
      <c r="H290" t="e">
        <f>SUMIF(M15:M242,#REF!,#REF!)</f>
        <v>#REF!</v>
      </c>
      <c r="M290" s="58" t="e">
        <f>CONCATENATE("M10x60-",#REF!)</f>
        <v>#REF!</v>
      </c>
    </row>
    <row r="291" spans="3:13" hidden="1" x14ac:dyDescent="0.25">
      <c r="C291" t="str">
        <f>CONCATENATE("S-M10x65-",B291)</f>
        <v>S-M10x65-</v>
      </c>
      <c r="F291" t="e">
        <f>#REF!</f>
        <v>#REF!</v>
      </c>
      <c r="H291" t="e">
        <f>SUMIF(M15:M242,#REF!,#REF!)</f>
        <v>#REF!</v>
      </c>
      <c r="M291" s="58" t="e">
        <f>CONCATENATE("M10x65-",#REF!)</f>
        <v>#REF!</v>
      </c>
    </row>
    <row r="292" spans="3:13" hidden="1" x14ac:dyDescent="0.25">
      <c r="C292" t="str">
        <f>CONCATENATE("S-M10x70-",B292)</f>
        <v>S-M10x70-</v>
      </c>
      <c r="F292" t="e">
        <f>#REF!</f>
        <v>#REF!</v>
      </c>
      <c r="H292" t="e">
        <f>SUMIF(M15:M242,#REF!,#REF!)</f>
        <v>#REF!</v>
      </c>
      <c r="M292" s="58" t="e">
        <f>CONCATENATE("M10x70-",#REF!)</f>
        <v>#REF!</v>
      </c>
    </row>
    <row r="293" spans="3:13" hidden="1" x14ac:dyDescent="0.25">
      <c r="C293" t="str">
        <f>CONCATENATE("S-M10x75-",B293)</f>
        <v>S-M10x75-</v>
      </c>
      <c r="F293" t="e">
        <f>#REF!</f>
        <v>#REF!</v>
      </c>
      <c r="H293" t="e">
        <f>SUMIF(M15:M242,#REF!,#REF!)</f>
        <v>#REF!</v>
      </c>
      <c r="M293" s="58" t="e">
        <f>CONCATENATE("M10x75-",#REF!)</f>
        <v>#REF!</v>
      </c>
    </row>
    <row r="294" spans="3:13" hidden="1" x14ac:dyDescent="0.25">
      <c r="C294" t="str">
        <f>CONCATENATE("S-M10x80-",B294)</f>
        <v>S-M10x80-</v>
      </c>
      <c r="F294" t="e">
        <f>#REF!</f>
        <v>#REF!</v>
      </c>
      <c r="H294" t="e">
        <f>SUMIF(M15:M242,#REF!,#REF!)</f>
        <v>#REF!</v>
      </c>
      <c r="M294" s="58" t="e">
        <f>CONCATENATE("M10x80-",#REF!)</f>
        <v>#REF!</v>
      </c>
    </row>
    <row r="295" spans="3:13" hidden="1" x14ac:dyDescent="0.25">
      <c r="C295" t="str">
        <f>CONCATENATE("S-M10x85-",B295)</f>
        <v>S-M10x85-</v>
      </c>
      <c r="F295" t="e">
        <f>#REF!</f>
        <v>#REF!</v>
      </c>
      <c r="H295" t="e">
        <f>SUMIF(M15:M242,#REF!,#REF!)</f>
        <v>#REF!</v>
      </c>
      <c r="M295" s="58" t="e">
        <f>CONCATENATE("M10x85-",#REF!)</f>
        <v>#REF!</v>
      </c>
    </row>
    <row r="296" spans="3:13" hidden="1" x14ac:dyDescent="0.25">
      <c r="C296" t="str">
        <f>CONCATENATE("S-M10x90-",B296)</f>
        <v>S-M10x90-</v>
      </c>
      <c r="F296" t="e">
        <f>#REF!</f>
        <v>#REF!</v>
      </c>
      <c r="H296" t="e">
        <f>SUMIF(M15:M242,#REF!,#REF!)</f>
        <v>#REF!</v>
      </c>
      <c r="M296" s="58" t="e">
        <f>CONCATENATE("M10x90-",#REF!)</f>
        <v>#REF!</v>
      </c>
    </row>
    <row r="297" spans="3:13" hidden="1" x14ac:dyDescent="0.25">
      <c r="C297" t="str">
        <f>CONCATENATE("S-M10x95-",B297)</f>
        <v>S-M10x95-</v>
      </c>
      <c r="F297" t="e">
        <f>#REF!</f>
        <v>#REF!</v>
      </c>
      <c r="H297" t="e">
        <f>SUMIF(M15:M242,#REF!,#REF!)</f>
        <v>#REF!</v>
      </c>
      <c r="M297" s="58" t="e">
        <f>CONCATENATE("M10x95-",#REF!)</f>
        <v>#REF!</v>
      </c>
    </row>
    <row r="298" spans="3:13" hidden="1" x14ac:dyDescent="0.25">
      <c r="C298" t="str">
        <f>CONCATENATE("S-M10x100-",B298)</f>
        <v>S-M10x100-</v>
      </c>
      <c r="F298" t="e">
        <f>#REF!</f>
        <v>#REF!</v>
      </c>
      <c r="H298" t="e">
        <f>SUMIF(M15:M242,#REF!,#REF!)</f>
        <v>#REF!</v>
      </c>
    </row>
    <row r="299" spans="3:13" hidden="1" x14ac:dyDescent="0.25">
      <c r="C299" t="str">
        <f>CONCATENATE("S-M10x105-",B299)</f>
        <v>S-M10x105-</v>
      </c>
      <c r="F299" t="e">
        <f>#REF!</f>
        <v>#REF!</v>
      </c>
      <c r="H299" t="e">
        <f>SUMIF(M15:M242,#REF!,#REF!)</f>
        <v>#REF!</v>
      </c>
    </row>
    <row r="300" spans="3:13" hidden="1" x14ac:dyDescent="0.25">
      <c r="C300" t="str">
        <f>CONCATENATE("S-M10x110-",B300)</f>
        <v>S-M10x110-</v>
      </c>
      <c r="F300" t="e">
        <f>#REF!</f>
        <v>#REF!</v>
      </c>
      <c r="H300" t="e">
        <f>SUMIF(M15:M242,#REF!,#REF!)</f>
        <v>#REF!</v>
      </c>
    </row>
    <row r="301" spans="3:13" hidden="1" x14ac:dyDescent="0.25">
      <c r="C301" t="str">
        <f>CONCATENATE("S-M12x25-",B301)</f>
        <v>S-M12x25-</v>
      </c>
      <c r="F301" t="e">
        <f>#REF!</f>
        <v>#REF!</v>
      </c>
      <c r="H301" t="e">
        <f>SUMIF(M15:M242,#REF!,#REF!)</f>
        <v>#REF!</v>
      </c>
      <c r="M301" s="58" t="e">
        <f>CONCATENATE("M12x25-",#REF!)</f>
        <v>#REF!</v>
      </c>
    </row>
    <row r="302" spans="3:13" hidden="1" x14ac:dyDescent="0.25">
      <c r="C302" t="str">
        <f>CONCATENATE("S-M12x30-",B302)</f>
        <v>S-M12x30-</v>
      </c>
      <c r="F302" t="e">
        <f>#REF!</f>
        <v>#REF!</v>
      </c>
      <c r="H302" t="e">
        <f>SUMIF(M15:M242,#REF!,#REF!)</f>
        <v>#REF!</v>
      </c>
      <c r="M302" s="58" t="e">
        <f>CONCATENATE("M12x30-",#REF!)</f>
        <v>#REF!</v>
      </c>
    </row>
    <row r="303" spans="3:13" hidden="1" x14ac:dyDescent="0.25">
      <c r="C303" t="str">
        <f>CONCATENATE("S-M12x35-",B303)</f>
        <v>S-M12x35-</v>
      </c>
      <c r="F303" t="e">
        <f>#REF!</f>
        <v>#REF!</v>
      </c>
      <c r="H303" t="e">
        <f>SUMIF(M15:M242,#REF!,#REF!)</f>
        <v>#REF!</v>
      </c>
      <c r="M303" s="58" t="e">
        <f>CONCATENATE("M12x35-",#REF!)</f>
        <v>#REF!</v>
      </c>
    </row>
    <row r="304" spans="3:13" hidden="1" x14ac:dyDescent="0.25">
      <c r="C304" t="str">
        <f>CONCATENATE("S-M12x40-",B304)</f>
        <v>S-M12x40-</v>
      </c>
      <c r="F304" t="e">
        <f>#REF!</f>
        <v>#REF!</v>
      </c>
      <c r="H304" t="e">
        <f>SUMIF(M15:M242,#REF!,#REF!)</f>
        <v>#REF!</v>
      </c>
      <c r="M304" s="58" t="e">
        <f>CONCATENATE("M12x40-",#REF!)</f>
        <v>#REF!</v>
      </c>
    </row>
    <row r="305" spans="3:13" hidden="1" x14ac:dyDescent="0.25">
      <c r="C305" t="str">
        <f>CONCATENATE("S-M12x45-",B305)</f>
        <v>S-M12x45-</v>
      </c>
      <c r="F305" t="e">
        <f>#REF!</f>
        <v>#REF!</v>
      </c>
      <c r="H305" t="e">
        <f>SUMIF(M15:M242,#REF!,#REF!)</f>
        <v>#REF!</v>
      </c>
      <c r="M305" s="58" t="e">
        <f>CONCATENATE("M12x45-",#REF!)</f>
        <v>#REF!</v>
      </c>
    </row>
    <row r="306" spans="3:13" hidden="1" x14ac:dyDescent="0.25">
      <c r="C306" t="str">
        <f>CONCATENATE("S-M12x50-",B306)</f>
        <v>S-M12x50-</v>
      </c>
      <c r="F306" t="e">
        <f>#REF!</f>
        <v>#REF!</v>
      </c>
      <c r="H306" t="e">
        <f>SUMIF(M15:M242,#REF!,#REF!)</f>
        <v>#REF!</v>
      </c>
      <c r="M306" s="58" t="e">
        <f>CONCATENATE("M12x50-",#REF!)</f>
        <v>#REF!</v>
      </c>
    </row>
    <row r="307" spans="3:13" hidden="1" x14ac:dyDescent="0.25">
      <c r="C307" t="str">
        <f>CONCATENATE("S-M12x55-",B307)</f>
        <v>S-M12x55-</v>
      </c>
      <c r="F307" t="e">
        <f>#REF!</f>
        <v>#REF!</v>
      </c>
      <c r="H307" t="e">
        <f>SUMIF(M15:M242,#REF!,#REF!)</f>
        <v>#REF!</v>
      </c>
      <c r="M307" s="58" t="e">
        <f>CONCATENATE("M12x55-",#REF!)</f>
        <v>#REF!</v>
      </c>
    </row>
    <row r="308" spans="3:13" hidden="1" x14ac:dyDescent="0.25">
      <c r="C308" t="str">
        <f>CONCATENATE("S-M12x60-",B308)</f>
        <v>S-M12x60-</v>
      </c>
      <c r="F308" t="e">
        <f>#REF!</f>
        <v>#REF!</v>
      </c>
      <c r="H308" t="e">
        <f>SUMIF(M15:M242,#REF!,#REF!)</f>
        <v>#REF!</v>
      </c>
      <c r="M308" s="58" t="e">
        <f>CONCATENATE("M12x60-",#REF!)</f>
        <v>#REF!</v>
      </c>
    </row>
    <row r="309" spans="3:13" hidden="1" x14ac:dyDescent="0.25">
      <c r="C309" t="str">
        <f>CONCATENATE("S-M12x65-",B309)</f>
        <v>S-M12x65-</v>
      </c>
      <c r="F309" t="e">
        <f>#REF!</f>
        <v>#REF!</v>
      </c>
      <c r="H309" t="e">
        <f>SUMIF(M15:M242,#REF!,#REF!)</f>
        <v>#REF!</v>
      </c>
      <c r="M309" s="58" t="e">
        <f>CONCATENATE("M12x65-",#REF!)</f>
        <v>#REF!</v>
      </c>
    </row>
    <row r="310" spans="3:13" hidden="1" x14ac:dyDescent="0.25">
      <c r="C310" t="str">
        <f>CONCATENATE("S-M12x70-",B310)</f>
        <v>S-M12x70-</v>
      </c>
      <c r="F310" t="e">
        <f>#REF!</f>
        <v>#REF!</v>
      </c>
      <c r="H310" t="e">
        <f>SUMIF(M15:M242,#REF!,#REF!)</f>
        <v>#REF!</v>
      </c>
      <c r="M310" s="58" t="e">
        <f>CONCATENATE("M12x70-",#REF!)</f>
        <v>#REF!</v>
      </c>
    </row>
    <row r="311" spans="3:13" hidden="1" x14ac:dyDescent="0.25">
      <c r="C311" t="str">
        <f>CONCATENATE("S-M12x75-",B311)</f>
        <v>S-M12x75-</v>
      </c>
      <c r="F311" t="e">
        <f>#REF!</f>
        <v>#REF!</v>
      </c>
      <c r="H311" t="e">
        <f>SUMIF(M15:M242,#REF!,#REF!)</f>
        <v>#REF!</v>
      </c>
      <c r="M311" s="58" t="e">
        <f>CONCATENATE("M12x75-",#REF!)</f>
        <v>#REF!</v>
      </c>
    </row>
    <row r="312" spans="3:13" hidden="1" x14ac:dyDescent="0.25">
      <c r="C312" t="str">
        <f>CONCATENATE("S-M12x80-",B312)</f>
        <v>S-M12x80-</v>
      </c>
      <c r="F312" t="e">
        <f>#REF!</f>
        <v>#REF!</v>
      </c>
      <c r="H312" t="e">
        <f>SUMIF(M15:M242,#REF!,#REF!)</f>
        <v>#REF!</v>
      </c>
      <c r="M312" s="58" t="e">
        <f>CONCATENATE("M12x80-",#REF!)</f>
        <v>#REF!</v>
      </c>
    </row>
    <row r="313" spans="3:13" hidden="1" x14ac:dyDescent="0.25">
      <c r="C313" t="str">
        <f>CONCATENATE("S-M12x85-",B313)</f>
        <v>S-M12x85-</v>
      </c>
      <c r="F313" t="e">
        <f>#REF!</f>
        <v>#REF!</v>
      </c>
      <c r="H313" t="e">
        <f>SUMIF(M15:M242,#REF!,#REF!)</f>
        <v>#REF!</v>
      </c>
      <c r="M313" s="58" t="e">
        <f>CONCATENATE("M12x85-",#REF!)</f>
        <v>#REF!</v>
      </c>
    </row>
    <row r="314" spans="3:13" hidden="1" x14ac:dyDescent="0.25">
      <c r="C314" t="str">
        <f>CONCATENATE("S-M12x90-",B314)</f>
        <v>S-M12x90-</v>
      </c>
      <c r="F314" t="e">
        <f>#REF!</f>
        <v>#REF!</v>
      </c>
      <c r="H314" t="e">
        <f>SUMIF(M15:M242,#REF!,#REF!)</f>
        <v>#REF!</v>
      </c>
      <c r="M314" s="58" t="e">
        <f>CONCATENATE("M12x90-",#REF!)</f>
        <v>#REF!</v>
      </c>
    </row>
    <row r="315" spans="3:13" hidden="1" x14ac:dyDescent="0.25">
      <c r="C315" t="str">
        <f>CONCATENATE("S-M12x95-",B315)</f>
        <v>S-M12x95-</v>
      </c>
      <c r="F315" t="e">
        <f>#REF!</f>
        <v>#REF!</v>
      </c>
      <c r="H315" t="e">
        <f>SUMIF(M15:M242,#REF!,#REF!)</f>
        <v>#REF!</v>
      </c>
      <c r="M315" s="58" t="e">
        <f>CONCATENATE("M12x95-",#REF!)</f>
        <v>#REF!</v>
      </c>
    </row>
    <row r="316" spans="3:13" hidden="1" x14ac:dyDescent="0.25">
      <c r="C316" t="str">
        <f>CONCATENATE("S-M12x100-",B316)</f>
        <v>S-M12x100-</v>
      </c>
      <c r="F316" t="e">
        <f>#REF!</f>
        <v>#REF!</v>
      </c>
      <c r="H316" t="e">
        <f>SUMIF(M15:M242,#REF!,#REF!)</f>
        <v>#REF!</v>
      </c>
    </row>
    <row r="317" spans="3:13" hidden="1" x14ac:dyDescent="0.25">
      <c r="C317" t="str">
        <f>CONCATENATE("S-M12x105-",B317)</f>
        <v>S-M12x105-</v>
      </c>
      <c r="F317" t="e">
        <f>#REF!</f>
        <v>#REF!</v>
      </c>
      <c r="H317" t="e">
        <f>SUMIF(M15:M242,#REF!,#REF!)</f>
        <v>#REF!</v>
      </c>
    </row>
    <row r="318" spans="3:13" hidden="1" x14ac:dyDescent="0.25">
      <c r="C318" t="str">
        <f>CONCATENATE("S-M12x110-",B318)</f>
        <v>S-M12x110-</v>
      </c>
      <c r="F318" t="e">
        <f>#REF!</f>
        <v>#REF!</v>
      </c>
      <c r="H318" t="e">
        <f>SUMIF(M15:M242,#REF!,#REF!)</f>
        <v>#REF!</v>
      </c>
    </row>
    <row r="319" spans="3:13" hidden="1" x14ac:dyDescent="0.25">
      <c r="C319" t="str">
        <f>CONCATENATE("S-M12x115-",B319)</f>
        <v>S-M12x115-</v>
      </c>
      <c r="F319" t="e">
        <f>#REF!</f>
        <v>#REF!</v>
      </c>
      <c r="H319" t="e">
        <f>SUMIF(M15:M242,#REF!,#REF!)</f>
        <v>#REF!</v>
      </c>
    </row>
    <row r="320" spans="3:13" hidden="1" x14ac:dyDescent="0.25">
      <c r="C320" t="str">
        <f>CONCATENATE("S-M12x120-",B320)</f>
        <v>S-M12x120-</v>
      </c>
      <c r="F320" t="e">
        <f>#REF!</f>
        <v>#REF!</v>
      </c>
      <c r="H320" t="e">
        <f>SUMIF(M15:M242,#REF!,#REF!)</f>
        <v>#REF!</v>
      </c>
    </row>
    <row r="321" spans="3:13" hidden="1" x14ac:dyDescent="0.25">
      <c r="C321" t="str">
        <f>CONCATENATE("S-M12x125-",B321)</f>
        <v>S-M12x125-</v>
      </c>
      <c r="F321" t="e">
        <f>#REF!</f>
        <v>#REF!</v>
      </c>
      <c r="H321" t="e">
        <f>SUMIF(M15:M242,#REF!,#REF!)</f>
        <v>#REF!</v>
      </c>
    </row>
    <row r="322" spans="3:13" hidden="1" x14ac:dyDescent="0.25">
      <c r="C322" t="str">
        <f>CONCATENATE("S-M16x25-",B322)</f>
        <v>S-M16x25-</v>
      </c>
      <c r="F322" t="e">
        <f>#REF!</f>
        <v>#REF!</v>
      </c>
      <c r="H322" t="e">
        <f>SUMIF(M15:M242,#REF!,#REF!)</f>
        <v>#REF!</v>
      </c>
      <c r="M322" s="58" t="e">
        <f>CONCATENATE("M16x25-",#REF!)</f>
        <v>#REF!</v>
      </c>
    </row>
    <row r="323" spans="3:13" hidden="1" x14ac:dyDescent="0.25">
      <c r="C323" t="str">
        <f>CONCATENATE("S-M16x30-",B323)</f>
        <v>S-M16x30-</v>
      </c>
      <c r="F323" t="e">
        <f>#REF!</f>
        <v>#REF!</v>
      </c>
      <c r="H323" t="e">
        <f>SUMIF(M15:M242,#REF!,#REF!)</f>
        <v>#REF!</v>
      </c>
      <c r="M323" s="58" t="e">
        <f>CONCATENATE("M16x30-",#REF!)</f>
        <v>#REF!</v>
      </c>
    </row>
    <row r="324" spans="3:13" hidden="1" x14ac:dyDescent="0.25">
      <c r="C324" t="str">
        <f>CONCATENATE("S-M16x35-",B324)</f>
        <v>S-M16x35-</v>
      </c>
      <c r="F324" t="e">
        <f>#REF!</f>
        <v>#REF!</v>
      </c>
      <c r="H324" t="e">
        <f>SUMIF(M15:M242,#REF!,#REF!)</f>
        <v>#REF!</v>
      </c>
      <c r="M324" s="58" t="e">
        <f>CONCATENATE("M16x35-",#REF!)</f>
        <v>#REF!</v>
      </c>
    </row>
    <row r="325" spans="3:13" hidden="1" x14ac:dyDescent="0.25">
      <c r="C325" t="str">
        <f>CONCATENATE("S-M16x40-",B325)</f>
        <v>S-M16x40-</v>
      </c>
      <c r="F325" t="e">
        <f>#REF!</f>
        <v>#REF!</v>
      </c>
      <c r="H325" t="e">
        <f>SUMIF(M15:M242,#REF!,#REF!)</f>
        <v>#REF!</v>
      </c>
      <c r="M325" s="58" t="e">
        <f>CONCATENATE("M16x40-",#REF!)</f>
        <v>#REF!</v>
      </c>
    </row>
    <row r="326" spans="3:13" hidden="1" x14ac:dyDescent="0.25">
      <c r="C326" t="str">
        <f>CONCATENATE("S-M16x45-",B326)</f>
        <v>S-M16x45-</v>
      </c>
      <c r="F326" t="e">
        <f>#REF!</f>
        <v>#REF!</v>
      </c>
      <c r="H326" t="e">
        <f>SUMIF(M15:M242,#REF!,#REF!)</f>
        <v>#REF!</v>
      </c>
      <c r="M326" s="58" t="e">
        <f>CONCATENATE("M16x45-",#REF!)</f>
        <v>#REF!</v>
      </c>
    </row>
    <row r="327" spans="3:13" hidden="1" x14ac:dyDescent="0.25">
      <c r="C327" t="str">
        <f>CONCATENATE("S-M16x50-",B327)</f>
        <v>S-M16x50-</v>
      </c>
      <c r="F327" t="e">
        <f>#REF!</f>
        <v>#REF!</v>
      </c>
      <c r="H327" t="e">
        <f>SUMIF(M15:M242,#REF!,#REF!)</f>
        <v>#REF!</v>
      </c>
      <c r="M327" s="58" t="e">
        <f>CONCATENATE("M16x50-",#REF!)</f>
        <v>#REF!</v>
      </c>
    </row>
    <row r="328" spans="3:13" hidden="1" x14ac:dyDescent="0.25">
      <c r="C328" t="str">
        <f>CONCATENATE("S-M16x55-",B328)</f>
        <v>S-M16x55-</v>
      </c>
      <c r="F328" t="e">
        <f>#REF!</f>
        <v>#REF!</v>
      </c>
      <c r="H328" t="e">
        <f>SUMIF(M15:M242,#REF!,#REF!)</f>
        <v>#REF!</v>
      </c>
      <c r="M328" s="58" t="e">
        <f>CONCATENATE("M16x55-",#REF!)</f>
        <v>#REF!</v>
      </c>
    </row>
    <row r="329" spans="3:13" hidden="1" x14ac:dyDescent="0.25">
      <c r="C329" t="str">
        <f>CONCATENATE("S-M16x60-",B329)</f>
        <v>S-M16x60-</v>
      </c>
      <c r="F329" t="e">
        <f>#REF!</f>
        <v>#REF!</v>
      </c>
      <c r="H329" t="e">
        <f>SUMIF(M15:M242,#REF!,#REF!)</f>
        <v>#REF!</v>
      </c>
      <c r="M329" s="58" t="e">
        <f>CONCATENATE("M16x60-",#REF!)</f>
        <v>#REF!</v>
      </c>
    </row>
    <row r="330" spans="3:13" hidden="1" x14ac:dyDescent="0.25">
      <c r="C330" t="str">
        <f>CONCATENATE("S-M16x65-",B330)</f>
        <v>S-M16x65-</v>
      </c>
      <c r="F330" t="e">
        <f>#REF!</f>
        <v>#REF!</v>
      </c>
      <c r="H330" t="e">
        <f>SUMIF(M15:M242,#REF!,#REF!)</f>
        <v>#REF!</v>
      </c>
      <c r="M330" s="58" t="e">
        <f>CONCATENATE("M16x65-",#REF!)</f>
        <v>#REF!</v>
      </c>
    </row>
    <row r="331" spans="3:13" hidden="1" x14ac:dyDescent="0.25">
      <c r="C331" t="str">
        <f>CONCATENATE("S-M16x70-",B331)</f>
        <v>S-M16x70-</v>
      </c>
      <c r="F331" t="e">
        <f>#REF!</f>
        <v>#REF!</v>
      </c>
      <c r="H331" t="e">
        <f>SUMIF(M15:M242,#REF!,#REF!)</f>
        <v>#REF!</v>
      </c>
      <c r="M331" s="58" t="e">
        <f>CONCATENATE("M16x70-",#REF!)</f>
        <v>#REF!</v>
      </c>
    </row>
    <row r="332" spans="3:13" hidden="1" x14ac:dyDescent="0.25">
      <c r="C332" t="str">
        <f>CONCATENATE("S-M16x75-",B332)</f>
        <v>S-M16x75-</v>
      </c>
      <c r="F332" t="e">
        <f>#REF!</f>
        <v>#REF!</v>
      </c>
      <c r="H332" t="e">
        <f>SUMIF(M15:M242,#REF!,#REF!)</f>
        <v>#REF!</v>
      </c>
      <c r="M332" s="58" t="e">
        <f>CONCATENATE("M16x75-",#REF!)</f>
        <v>#REF!</v>
      </c>
    </row>
    <row r="333" spans="3:13" hidden="1" x14ac:dyDescent="0.25">
      <c r="C333" t="str">
        <f>CONCATENATE("S-M16x80-",B333)</f>
        <v>S-M16x80-</v>
      </c>
      <c r="F333" t="e">
        <f>#REF!</f>
        <v>#REF!</v>
      </c>
      <c r="H333" t="e">
        <f>SUMIF(M15:M242,#REF!,#REF!)</f>
        <v>#REF!</v>
      </c>
      <c r="M333" s="58" t="e">
        <f>CONCATENATE("M16x80-",#REF!)</f>
        <v>#REF!</v>
      </c>
    </row>
    <row r="334" spans="3:13" hidden="1" x14ac:dyDescent="0.25">
      <c r="C334" t="str">
        <f>CONCATENATE("S-M16x85-",B334)</f>
        <v>S-M16x85-</v>
      </c>
      <c r="F334" t="e">
        <f>#REF!</f>
        <v>#REF!</v>
      </c>
      <c r="H334" t="e">
        <f>SUMIF(M15:M242,#REF!,#REF!)</f>
        <v>#REF!</v>
      </c>
      <c r="M334" s="58" t="e">
        <f>CONCATENATE("M16x85-",#REF!)</f>
        <v>#REF!</v>
      </c>
    </row>
    <row r="335" spans="3:13" hidden="1" x14ac:dyDescent="0.25">
      <c r="C335" t="str">
        <f>CONCATENATE("S-M16x90-",B335)</f>
        <v>S-M16x90-</v>
      </c>
      <c r="F335" t="e">
        <f>#REF!</f>
        <v>#REF!</v>
      </c>
      <c r="H335" t="e">
        <f>SUMIF(M15:M242,#REF!,#REF!)</f>
        <v>#REF!</v>
      </c>
      <c r="M335" s="58" t="e">
        <f>CONCATENATE("M16x90-",#REF!)</f>
        <v>#REF!</v>
      </c>
    </row>
    <row r="336" spans="3:13" hidden="1" x14ac:dyDescent="0.25">
      <c r="C336" t="str">
        <f>CONCATENATE("S-M16x95-",B336)</f>
        <v>S-M16x95-</v>
      </c>
      <c r="F336" t="e">
        <f>#REF!</f>
        <v>#REF!</v>
      </c>
      <c r="H336" t="e">
        <f>SUMIF(M15:M242,#REF!,#REF!)</f>
        <v>#REF!</v>
      </c>
      <c r="M336" s="58" t="e">
        <f>CONCATENATE("M16x95-",#REF!)</f>
        <v>#REF!</v>
      </c>
    </row>
    <row r="337" spans="3:13" hidden="1" x14ac:dyDescent="0.25">
      <c r="C337" t="str">
        <f>CONCATENATE("S-M16x100-",B337)</f>
        <v>S-M16x100-</v>
      </c>
      <c r="F337" t="e">
        <f>#REF!</f>
        <v>#REF!</v>
      </c>
      <c r="H337" t="e">
        <f>SUMIF(M15:M242,#REF!,#REF!)</f>
        <v>#REF!</v>
      </c>
      <c r="M337" s="58" t="e">
        <f>CONCATENATE("M16x100-",#REF!)</f>
        <v>#REF!</v>
      </c>
    </row>
    <row r="338" spans="3:13" hidden="1" x14ac:dyDescent="0.25">
      <c r="C338" t="str">
        <f>CONCATENATE("S-M16x105-",B338)</f>
        <v>S-M16x105-</v>
      </c>
      <c r="F338" t="e">
        <f>#REF!</f>
        <v>#REF!</v>
      </c>
      <c r="H338" t="e">
        <f>SUMIF(M15:M242,#REF!,#REF!)</f>
        <v>#REF!</v>
      </c>
      <c r="M338" s="58" t="e">
        <f>CONCATENATE("M16x105-",#REF!)</f>
        <v>#REF!</v>
      </c>
    </row>
    <row r="339" spans="3:13" hidden="1" x14ac:dyDescent="0.25">
      <c r="C339" t="str">
        <f>CONCATENATE("S-M16x110-",B339)</f>
        <v>S-M16x110-</v>
      </c>
      <c r="F339" t="e">
        <f>#REF!</f>
        <v>#REF!</v>
      </c>
      <c r="H339" t="e">
        <f>SUMIF(M15:M242,#REF!,#REF!)</f>
        <v>#REF!</v>
      </c>
      <c r="M339" s="58" t="e">
        <f>CONCATENATE("M16x110-",#REF!)</f>
        <v>#REF!</v>
      </c>
    </row>
    <row r="340" spans="3:13" hidden="1" x14ac:dyDescent="0.25">
      <c r="C340" t="str">
        <f>CONCATENATE("S-M16x115-",B340)</f>
        <v>S-M16x115-</v>
      </c>
      <c r="F340" t="e">
        <f>#REF!</f>
        <v>#REF!</v>
      </c>
      <c r="H340" t="e">
        <f>SUMIF(M15:M242,#REF!,#REF!)</f>
        <v>#REF!</v>
      </c>
    </row>
    <row r="341" spans="3:13" hidden="1" x14ac:dyDescent="0.25">
      <c r="C341" t="str">
        <f>CONCATENATE("S-M16x120-",B341)</f>
        <v>S-M16x120-</v>
      </c>
      <c r="F341" t="e">
        <f>#REF!</f>
        <v>#REF!</v>
      </c>
      <c r="H341" t="e">
        <f>SUMIF(M15:M242,#REF!,#REF!)</f>
        <v>#REF!</v>
      </c>
    </row>
    <row r="342" spans="3:13" hidden="1" x14ac:dyDescent="0.25">
      <c r="C342" t="str">
        <f>CONCATENATE("S-M16x125-",B342)</f>
        <v>S-M16x125-</v>
      </c>
      <c r="F342" t="e">
        <f>#REF!</f>
        <v>#REF!</v>
      </c>
      <c r="H342" t="e">
        <f>SUMIF(M15:M242,#REF!,#REF!)</f>
        <v>#REF!</v>
      </c>
    </row>
    <row r="343" spans="3:13" hidden="1" x14ac:dyDescent="0.25">
      <c r="C343" t="str">
        <f>CONCATENATE("S-M16x130-",B343)</f>
        <v>S-M16x130-</v>
      </c>
      <c r="F343" t="e">
        <f>#REF!</f>
        <v>#REF!</v>
      </c>
      <c r="H343" t="e">
        <f>SUMIF(M15:M242,#REF!,#REF!)</f>
        <v>#REF!</v>
      </c>
    </row>
    <row r="344" spans="3:13" hidden="1" x14ac:dyDescent="0.25">
      <c r="C344" t="str">
        <f>CONCATENATE("S-M16x135-",B344)</f>
        <v>S-M16x135-</v>
      </c>
      <c r="F344" t="e">
        <f>#REF!</f>
        <v>#REF!</v>
      </c>
      <c r="H344" t="e">
        <f>SUMIF(M15:M242,#REF!,#REF!)</f>
        <v>#REF!</v>
      </c>
    </row>
    <row r="345" spans="3:13" hidden="1" x14ac:dyDescent="0.25">
      <c r="C345" t="str">
        <f>CONCATENATE("S-M16x140-",B345)</f>
        <v>S-M16x140-</v>
      </c>
      <c r="F345" t="e">
        <f>#REF!</f>
        <v>#REF!</v>
      </c>
      <c r="H345" t="e">
        <f>SUMIF(M15:M242,#REF!,#REF!)</f>
        <v>#REF!</v>
      </c>
    </row>
    <row r="346" spans="3:13" hidden="1" x14ac:dyDescent="0.25">
      <c r="C346" t="str">
        <f>CONCATENATE("S-M16x145-",B346)</f>
        <v>S-M16x145-</v>
      </c>
      <c r="F346" t="e">
        <f>#REF!</f>
        <v>#REF!</v>
      </c>
      <c r="H346" t="e">
        <f>SUMIF(M15:M242,#REF!,#REF!)</f>
        <v>#REF!</v>
      </c>
    </row>
    <row r="347" spans="3:13" hidden="1" x14ac:dyDescent="0.25">
      <c r="C347" t="str">
        <f>CONCATENATE("S-M16x150-",B347)</f>
        <v>S-M16x150-</v>
      </c>
      <c r="F347" t="e">
        <f>#REF!</f>
        <v>#REF!</v>
      </c>
      <c r="H347" t="e">
        <f>SUMIF(M15:M242,#REF!,#REF!)</f>
        <v>#REF!</v>
      </c>
    </row>
    <row r="348" spans="3:13" hidden="1" x14ac:dyDescent="0.25">
      <c r="C348" t="str">
        <f>CONCATENATE("S-M20x25-",B348)</f>
        <v>S-M20x25-</v>
      </c>
      <c r="F348" t="e">
        <f>#REF!</f>
        <v>#REF!</v>
      </c>
      <c r="H348" t="e">
        <f>SUMIF(M15:M242,#REF!,#REF!)</f>
        <v>#REF!</v>
      </c>
      <c r="M348" s="58" t="e">
        <f>CONCATENATE("M20x25-",#REF!)</f>
        <v>#REF!</v>
      </c>
    </row>
    <row r="349" spans="3:13" hidden="1" x14ac:dyDescent="0.25">
      <c r="C349" t="str">
        <f>CONCATENATE("S-M20x30-",B349)</f>
        <v>S-M20x30-</v>
      </c>
      <c r="F349" t="e">
        <f>#REF!</f>
        <v>#REF!</v>
      </c>
      <c r="H349" t="e">
        <f>SUMIF(M15:M242,#REF!,#REF!)</f>
        <v>#REF!</v>
      </c>
      <c r="M349" s="58" t="e">
        <f>CONCATENATE("M20x30-",#REF!)</f>
        <v>#REF!</v>
      </c>
    </row>
    <row r="350" spans="3:13" hidden="1" x14ac:dyDescent="0.25">
      <c r="C350" t="str">
        <f>CONCATENATE("S-M20x35-",B350)</f>
        <v>S-M20x35-</v>
      </c>
      <c r="F350" t="e">
        <f>#REF!</f>
        <v>#REF!</v>
      </c>
      <c r="H350" t="e">
        <f>SUMIF(M15:M242,#REF!,#REF!)</f>
        <v>#REF!</v>
      </c>
      <c r="M350" s="58" t="e">
        <f>CONCATENATE("M20x35-",#REF!)</f>
        <v>#REF!</v>
      </c>
    </row>
    <row r="351" spans="3:13" hidden="1" x14ac:dyDescent="0.25">
      <c r="C351" t="str">
        <f>CONCATENATE("S-M20x40-",B351)</f>
        <v>S-M20x40-</v>
      </c>
      <c r="F351" t="e">
        <f>#REF!</f>
        <v>#REF!</v>
      </c>
      <c r="H351" t="e">
        <f>SUMIF(M15:M242,#REF!,#REF!)</f>
        <v>#REF!</v>
      </c>
      <c r="M351" s="58" t="e">
        <f>CONCATENATE("M20x40-",#REF!)</f>
        <v>#REF!</v>
      </c>
    </row>
    <row r="352" spans="3:13" hidden="1" x14ac:dyDescent="0.25">
      <c r="C352" t="str">
        <f>CONCATENATE("S-M20x45-",B352)</f>
        <v>S-M20x45-</v>
      </c>
      <c r="F352" t="e">
        <f>#REF!</f>
        <v>#REF!</v>
      </c>
      <c r="H352" t="e">
        <f>SUMIF(M15:M242,#REF!,#REF!)</f>
        <v>#REF!</v>
      </c>
      <c r="M352" s="58" t="e">
        <f>CONCATENATE("M20x45-",#REF!)</f>
        <v>#REF!</v>
      </c>
    </row>
    <row r="353" spans="3:13" hidden="1" x14ac:dyDescent="0.25">
      <c r="C353" t="str">
        <f>CONCATENATE("S-M20x50-",B353)</f>
        <v>S-M20x50-</v>
      </c>
      <c r="F353" t="e">
        <f>#REF!</f>
        <v>#REF!</v>
      </c>
      <c r="H353" t="e">
        <f>SUMIF(M15:M242,#REF!,#REF!)</f>
        <v>#REF!</v>
      </c>
      <c r="M353" s="58" t="e">
        <f>CONCATENATE("M20x50-",#REF!)</f>
        <v>#REF!</v>
      </c>
    </row>
    <row r="354" spans="3:13" hidden="1" x14ac:dyDescent="0.25">
      <c r="C354" t="str">
        <f>CONCATENATE("S-M20x55-",B354)</f>
        <v>S-M20x55-</v>
      </c>
      <c r="F354" t="e">
        <f>#REF!</f>
        <v>#REF!</v>
      </c>
      <c r="H354" t="e">
        <f>SUMIF(M15:M242,#REF!,#REF!)</f>
        <v>#REF!</v>
      </c>
      <c r="M354" s="58" t="e">
        <f>CONCATENATE("M20x55-",#REF!)</f>
        <v>#REF!</v>
      </c>
    </row>
    <row r="355" spans="3:13" hidden="1" x14ac:dyDescent="0.25">
      <c r="C355" t="str">
        <f>CONCATENATE("S-M20x60-",B355)</f>
        <v>S-M20x60-</v>
      </c>
      <c r="F355" t="e">
        <f>#REF!</f>
        <v>#REF!</v>
      </c>
      <c r="H355" t="e">
        <f>SUMIF(M15:M242,#REF!,#REF!)</f>
        <v>#REF!</v>
      </c>
      <c r="M355" s="58" t="e">
        <f>CONCATENATE("M20x60-",#REF!)</f>
        <v>#REF!</v>
      </c>
    </row>
    <row r="356" spans="3:13" hidden="1" x14ac:dyDescent="0.25">
      <c r="C356" t="str">
        <f>CONCATENATE("S-M20x65-",B356)</f>
        <v>S-M20x65-</v>
      </c>
      <c r="F356" t="e">
        <f>#REF!</f>
        <v>#REF!</v>
      </c>
      <c r="H356" t="e">
        <f>SUMIF(M15:M242,#REF!,#REF!)</f>
        <v>#REF!</v>
      </c>
      <c r="M356" s="58" t="e">
        <f>CONCATENATE("M20x65-",#REF!)</f>
        <v>#REF!</v>
      </c>
    </row>
    <row r="357" spans="3:13" hidden="1" x14ac:dyDescent="0.25">
      <c r="C357" t="str">
        <f>CONCATENATE("S-M20x70-",B357)</f>
        <v>S-M20x70-</v>
      </c>
      <c r="F357" t="e">
        <f>#REF!</f>
        <v>#REF!</v>
      </c>
      <c r="H357" t="e">
        <f>SUMIF(M15:M242,#REF!,#REF!)</f>
        <v>#REF!</v>
      </c>
      <c r="M357" s="58" t="e">
        <f>CONCATENATE("M20x70-",#REF!)</f>
        <v>#REF!</v>
      </c>
    </row>
    <row r="358" spans="3:13" hidden="1" x14ac:dyDescent="0.25">
      <c r="C358" t="str">
        <f>CONCATENATE("S-M20x75-",B358)</f>
        <v>S-M20x75-</v>
      </c>
      <c r="F358" t="e">
        <f>#REF!</f>
        <v>#REF!</v>
      </c>
      <c r="H358" t="e">
        <f>SUMIF(M15:M242,#REF!,#REF!)</f>
        <v>#REF!</v>
      </c>
      <c r="M358" s="58" t="e">
        <f>CONCATENATE("M20x75-",#REF!)</f>
        <v>#REF!</v>
      </c>
    </row>
    <row r="359" spans="3:13" hidden="1" x14ac:dyDescent="0.25">
      <c r="C359" t="str">
        <f>CONCATENATE("S-M20x80-",B359)</f>
        <v>S-M20x80-</v>
      </c>
      <c r="F359" t="e">
        <f>#REF!</f>
        <v>#REF!</v>
      </c>
      <c r="H359" t="e">
        <f>SUMIF(M15:M242,#REF!,#REF!)</f>
        <v>#REF!</v>
      </c>
      <c r="M359" s="58" t="e">
        <f>CONCATENATE("M20x80-",#REF!)</f>
        <v>#REF!</v>
      </c>
    </row>
    <row r="360" spans="3:13" hidden="1" x14ac:dyDescent="0.25">
      <c r="C360" t="str">
        <f>CONCATENATE("S-M20x85-",B360)</f>
        <v>S-M20x85-</v>
      </c>
      <c r="F360" t="e">
        <f>#REF!</f>
        <v>#REF!</v>
      </c>
      <c r="H360" t="e">
        <f>SUMIF(M15:M242,#REF!,#REF!)</f>
        <v>#REF!</v>
      </c>
      <c r="M360" s="58" t="e">
        <f>CONCATENATE("M20x85-",#REF!)</f>
        <v>#REF!</v>
      </c>
    </row>
    <row r="361" spans="3:13" hidden="1" x14ac:dyDescent="0.25">
      <c r="C361" t="str">
        <f>CONCATENATE("S-M20x90-",B361)</f>
        <v>S-M20x90-</v>
      </c>
      <c r="F361" t="e">
        <f>#REF!</f>
        <v>#REF!</v>
      </c>
      <c r="H361" t="e">
        <f>SUMIF(M15:M242,#REF!,#REF!)</f>
        <v>#REF!</v>
      </c>
      <c r="M361" s="58" t="e">
        <f>CONCATENATE("M20x90-",#REF!)</f>
        <v>#REF!</v>
      </c>
    </row>
    <row r="362" spans="3:13" hidden="1" x14ac:dyDescent="0.25">
      <c r="C362" t="str">
        <f>CONCATENATE("S-M20x95-",B362)</f>
        <v>S-M20x95-</v>
      </c>
      <c r="F362" t="e">
        <f>#REF!</f>
        <v>#REF!</v>
      </c>
      <c r="H362" t="e">
        <f>SUMIF(M15:M242,#REF!,#REF!)</f>
        <v>#REF!</v>
      </c>
      <c r="M362" s="58" t="e">
        <f>CONCATENATE("M20x95-",#REF!)</f>
        <v>#REF!</v>
      </c>
    </row>
    <row r="363" spans="3:13" hidden="1" x14ac:dyDescent="0.25">
      <c r="C363" t="str">
        <f>CONCATENATE("S-M20x100-",B363)</f>
        <v>S-M20x100-</v>
      </c>
      <c r="F363" t="e">
        <f>#REF!</f>
        <v>#REF!</v>
      </c>
      <c r="H363" t="e">
        <f>SUMIF(M15:M242,#REF!,#REF!)</f>
        <v>#REF!</v>
      </c>
      <c r="M363" s="58" t="e">
        <f>CONCATENATE("M20x100-",#REF!)</f>
        <v>#REF!</v>
      </c>
    </row>
    <row r="364" spans="3:13" hidden="1" x14ac:dyDescent="0.25">
      <c r="C364" t="str">
        <f>CONCATENATE("S-M20x105-",B364)</f>
        <v>S-M20x105-</v>
      </c>
      <c r="F364" t="e">
        <f>#REF!</f>
        <v>#REF!</v>
      </c>
      <c r="H364" t="e">
        <f>SUMIF(M15:M242,#REF!,#REF!)</f>
        <v>#REF!</v>
      </c>
      <c r="M364" s="58" t="e">
        <f>CONCATENATE("M20x105-",#REF!)</f>
        <v>#REF!</v>
      </c>
    </row>
    <row r="365" spans="3:13" hidden="1" x14ac:dyDescent="0.25">
      <c r="C365" t="str">
        <f>CONCATENATE("S-M20x110-",B365)</f>
        <v>S-M20x110-</v>
      </c>
      <c r="F365" t="e">
        <f>#REF!</f>
        <v>#REF!</v>
      </c>
      <c r="H365" t="e">
        <f>SUMIF(M15:M242,#REF!,#REF!)</f>
        <v>#REF!</v>
      </c>
      <c r="M365" s="58" t="e">
        <f>CONCATENATE("M20x110-",#REF!)</f>
        <v>#REF!</v>
      </c>
    </row>
    <row r="366" spans="3:13" hidden="1" x14ac:dyDescent="0.25">
      <c r="C366" t="str">
        <f>CONCATENATE("S-M20x115-",B366)</f>
        <v>S-M20x115-</v>
      </c>
      <c r="F366" t="e">
        <f>#REF!</f>
        <v>#REF!</v>
      </c>
      <c r="H366" t="e">
        <f>SUMIF(M15:M242,#REF!,#REF!)</f>
        <v>#REF!</v>
      </c>
    </row>
    <row r="367" spans="3:13" hidden="1" x14ac:dyDescent="0.25">
      <c r="C367" t="str">
        <f>CONCATENATE("S-M20x120-",B367)</f>
        <v>S-M20x120-</v>
      </c>
      <c r="F367" t="e">
        <f>#REF!</f>
        <v>#REF!</v>
      </c>
      <c r="H367" t="e">
        <f>SUMIF(M15:M242,#REF!,#REF!)</f>
        <v>#REF!</v>
      </c>
    </row>
    <row r="368" spans="3:13" hidden="1" x14ac:dyDescent="0.25">
      <c r="C368" t="str">
        <f>CONCATENATE("S-M20x125-",B368)</f>
        <v>S-M20x125-</v>
      </c>
      <c r="F368" t="e">
        <f>#REF!</f>
        <v>#REF!</v>
      </c>
      <c r="H368" t="e">
        <f>SUMIF(M15:M242,#REF!,#REF!)</f>
        <v>#REF!</v>
      </c>
    </row>
    <row r="369" spans="3:13" hidden="1" x14ac:dyDescent="0.25">
      <c r="C369" t="str">
        <f>CONCATENATE("S-M20x130-",B369)</f>
        <v>S-M20x130-</v>
      </c>
      <c r="F369" t="e">
        <f>#REF!</f>
        <v>#REF!</v>
      </c>
      <c r="H369" t="e">
        <f>SUMIF(M15:M242,#REF!,#REF!)</f>
        <v>#REF!</v>
      </c>
    </row>
    <row r="370" spans="3:13" hidden="1" x14ac:dyDescent="0.25">
      <c r="C370" t="str">
        <f>CONCATENATE("S-M20x135-",B370)</f>
        <v>S-M20x135-</v>
      </c>
      <c r="F370" t="e">
        <f>#REF!</f>
        <v>#REF!</v>
      </c>
      <c r="H370" t="e">
        <f>SUMIF(M15:M242,#REF!,#REF!)</f>
        <v>#REF!</v>
      </c>
    </row>
    <row r="371" spans="3:13" hidden="1" x14ac:dyDescent="0.25">
      <c r="C371" t="str">
        <f>CONCATENATE("S-M20x140-",B371)</f>
        <v>S-M20x140-</v>
      </c>
      <c r="F371" t="e">
        <f>#REF!</f>
        <v>#REF!</v>
      </c>
      <c r="H371" t="e">
        <f>SUMIF(M15:M242,#REF!,#REF!)</f>
        <v>#REF!</v>
      </c>
    </row>
    <row r="372" spans="3:13" hidden="1" x14ac:dyDescent="0.25">
      <c r="C372" t="str">
        <f>CONCATENATE("S-M20x145-",B372)</f>
        <v>S-M20x145-</v>
      </c>
      <c r="F372" t="e">
        <f>#REF!</f>
        <v>#REF!</v>
      </c>
      <c r="H372" t="e">
        <f>SUMIF(M15:M242,#REF!,#REF!)</f>
        <v>#REF!</v>
      </c>
    </row>
    <row r="373" spans="3:13" hidden="1" x14ac:dyDescent="0.25">
      <c r="C373" t="str">
        <f>CONCATENATE("S-M20x150-",B373)</f>
        <v>S-M20x150-</v>
      </c>
      <c r="F373" t="e">
        <f>#REF!</f>
        <v>#REF!</v>
      </c>
      <c r="H373" t="e">
        <f>SUMIF(M15:M242,#REF!,#REF!)</f>
        <v>#REF!</v>
      </c>
    </row>
    <row r="374" spans="3:13" hidden="1" x14ac:dyDescent="0.25">
      <c r="C374" t="str">
        <f>CONCATENATE("S-M20x155-",B374)</f>
        <v>S-M20x155-</v>
      </c>
      <c r="F374" t="e">
        <f>#REF!</f>
        <v>#REF!</v>
      </c>
      <c r="H374" t="e">
        <f>SUMIF(M15:M242,#REF!,#REF!)</f>
        <v>#REF!</v>
      </c>
    </row>
    <row r="375" spans="3:13" hidden="1" x14ac:dyDescent="0.25">
      <c r="C375" t="str">
        <f>CONCATENATE("S-M20x160-",B375)</f>
        <v>S-M20x160-</v>
      </c>
      <c r="F375" t="e">
        <f>#REF!</f>
        <v>#REF!</v>
      </c>
      <c r="H375" t="e">
        <f>SUMIF(M15:M242,#REF!,#REF!)</f>
        <v>#REF!</v>
      </c>
    </row>
    <row r="376" spans="3:13" hidden="1" x14ac:dyDescent="0.25">
      <c r="C376" t="str">
        <f>CONCATENATE("S-M20x165-",B376)</f>
        <v>S-M20x165-</v>
      </c>
      <c r="F376" t="e">
        <f>#REF!</f>
        <v>#REF!</v>
      </c>
      <c r="H376" t="e">
        <f>SUMIF(M15:M242,#REF!,#REF!)</f>
        <v>#REF!</v>
      </c>
    </row>
    <row r="377" spans="3:13" hidden="1" x14ac:dyDescent="0.25">
      <c r="C377" t="str">
        <f>CONCATENATE("S-M24x25-",B377)</f>
        <v>S-M24x25-</v>
      </c>
      <c r="F377" t="e">
        <f>#REF!</f>
        <v>#REF!</v>
      </c>
      <c r="H377" t="e">
        <f>SUMIF(M15:M242,#REF!,#REF!)</f>
        <v>#REF!</v>
      </c>
      <c r="M377" s="58" t="e">
        <f>CONCATENATE("M24x25-",#REF!)</f>
        <v>#REF!</v>
      </c>
    </row>
    <row r="378" spans="3:13" hidden="1" x14ac:dyDescent="0.25">
      <c r="C378" t="str">
        <f>CONCATENATE("S-M24x30-",B378)</f>
        <v>S-M24x30-</v>
      </c>
      <c r="F378" t="e">
        <f>#REF!</f>
        <v>#REF!</v>
      </c>
      <c r="H378" t="e">
        <f>SUMIF(M15:M242,#REF!,#REF!)</f>
        <v>#REF!</v>
      </c>
      <c r="M378" s="58" t="e">
        <f>CONCATENATE("M24x30-",#REF!)</f>
        <v>#REF!</v>
      </c>
    </row>
    <row r="379" spans="3:13" hidden="1" x14ac:dyDescent="0.25">
      <c r="C379" t="str">
        <f>CONCATENATE("S-M24x35-",B379)</f>
        <v>S-M24x35-</v>
      </c>
      <c r="F379" t="e">
        <f>#REF!</f>
        <v>#REF!</v>
      </c>
      <c r="H379" t="e">
        <f>SUMIF(M15:M242,#REF!,#REF!)</f>
        <v>#REF!</v>
      </c>
      <c r="M379" s="58" t="e">
        <f>CONCATENATE("M24x35-",#REF!)</f>
        <v>#REF!</v>
      </c>
    </row>
    <row r="380" spans="3:13" hidden="1" x14ac:dyDescent="0.25">
      <c r="C380" t="str">
        <f>CONCATENATE("S-M24x40-",B380)</f>
        <v>S-M24x40-</v>
      </c>
      <c r="F380" t="e">
        <f>#REF!</f>
        <v>#REF!</v>
      </c>
      <c r="H380" t="e">
        <f>SUMIF(M15:M242,#REF!,#REF!)</f>
        <v>#REF!</v>
      </c>
      <c r="M380" s="58" t="e">
        <f>CONCATENATE("M24x40-",#REF!)</f>
        <v>#REF!</v>
      </c>
    </row>
    <row r="381" spans="3:13" hidden="1" x14ac:dyDescent="0.25">
      <c r="C381" t="str">
        <f>CONCATENATE("S-M24x45-",B381)</f>
        <v>S-M24x45-</v>
      </c>
      <c r="F381" t="e">
        <f>#REF!</f>
        <v>#REF!</v>
      </c>
      <c r="H381" t="e">
        <f>SUMIF(M15:M242,#REF!,#REF!)</f>
        <v>#REF!</v>
      </c>
      <c r="M381" s="58" t="e">
        <f>CONCATENATE("M24x45-",#REF!)</f>
        <v>#REF!</v>
      </c>
    </row>
    <row r="382" spans="3:13" hidden="1" x14ac:dyDescent="0.25">
      <c r="C382" t="str">
        <f>CONCATENATE("S-M24x50-",B382)</f>
        <v>S-M24x50-</v>
      </c>
      <c r="F382" t="e">
        <f>#REF!</f>
        <v>#REF!</v>
      </c>
      <c r="H382" t="e">
        <f>SUMIF(M15:M242,#REF!,#REF!)</f>
        <v>#REF!</v>
      </c>
      <c r="M382" s="58" t="e">
        <f>CONCATENATE("M24x50-",#REF!)</f>
        <v>#REF!</v>
      </c>
    </row>
    <row r="383" spans="3:13" hidden="1" x14ac:dyDescent="0.25">
      <c r="C383" t="str">
        <f>CONCATENATE("S-M24x55-",B383)</f>
        <v>S-M24x55-</v>
      </c>
      <c r="F383" t="e">
        <f>#REF!</f>
        <v>#REF!</v>
      </c>
      <c r="H383" t="e">
        <f>SUMIF(M15:M242,#REF!,#REF!)</f>
        <v>#REF!</v>
      </c>
      <c r="M383" s="58" t="e">
        <f>CONCATENATE("M24x55-",#REF!)</f>
        <v>#REF!</v>
      </c>
    </row>
    <row r="384" spans="3:13" hidden="1" x14ac:dyDescent="0.25">
      <c r="C384" t="str">
        <f>CONCATENATE("S-M24x60-",B384)</f>
        <v>S-M24x60-</v>
      </c>
      <c r="F384" t="e">
        <f>#REF!</f>
        <v>#REF!</v>
      </c>
      <c r="H384" t="e">
        <f>SUMIF(M15:M242,#REF!,#REF!)</f>
        <v>#REF!</v>
      </c>
      <c r="M384" s="58" t="e">
        <f>CONCATENATE("M24x60-",#REF!)</f>
        <v>#REF!</v>
      </c>
    </row>
    <row r="385" spans="3:13" hidden="1" x14ac:dyDescent="0.25">
      <c r="C385" t="str">
        <f>CONCATENATE("S-M24x65-",B385)</f>
        <v>S-M24x65-</v>
      </c>
      <c r="F385" t="e">
        <f>#REF!</f>
        <v>#REF!</v>
      </c>
      <c r="H385" t="e">
        <f>SUMIF(M15:M242,#REF!,#REF!)</f>
        <v>#REF!</v>
      </c>
      <c r="M385" s="58" t="e">
        <f>CONCATENATE("M24x65-",#REF!)</f>
        <v>#REF!</v>
      </c>
    </row>
    <row r="386" spans="3:13" hidden="1" x14ac:dyDescent="0.25">
      <c r="C386" t="str">
        <f>CONCATENATE("S-M24x70-",B386)</f>
        <v>S-M24x70-</v>
      </c>
      <c r="F386" t="e">
        <f>#REF!</f>
        <v>#REF!</v>
      </c>
      <c r="H386" t="e">
        <f>SUMIF(M15:M242,#REF!,#REF!)</f>
        <v>#REF!</v>
      </c>
      <c r="M386" s="58" t="e">
        <f>CONCATENATE("M24x70-",#REF!)</f>
        <v>#REF!</v>
      </c>
    </row>
    <row r="387" spans="3:13" hidden="1" x14ac:dyDescent="0.25">
      <c r="C387" t="str">
        <f>CONCATENATE("S-M24x75-",B387)</f>
        <v>S-M24x75-</v>
      </c>
      <c r="F387" t="e">
        <f>#REF!</f>
        <v>#REF!</v>
      </c>
      <c r="H387" t="e">
        <f>SUMIF(M15:M242,#REF!,#REF!)</f>
        <v>#REF!</v>
      </c>
      <c r="M387" s="58" t="e">
        <f>CONCATENATE("M24x75-",#REF!)</f>
        <v>#REF!</v>
      </c>
    </row>
    <row r="388" spans="3:13" hidden="1" x14ac:dyDescent="0.25">
      <c r="C388" t="str">
        <f>CONCATENATE("S-M24x80-",B388)</f>
        <v>S-M24x80-</v>
      </c>
      <c r="F388" t="e">
        <f>#REF!</f>
        <v>#REF!</v>
      </c>
      <c r="H388" t="e">
        <f>SUMIF(M15:M242,#REF!,#REF!)</f>
        <v>#REF!</v>
      </c>
      <c r="M388" s="58" t="e">
        <f>CONCATENATE("M24x80-",#REF!)</f>
        <v>#REF!</v>
      </c>
    </row>
    <row r="389" spans="3:13" hidden="1" x14ac:dyDescent="0.25">
      <c r="C389" t="str">
        <f>CONCATENATE("S-M24x85-",B389)</f>
        <v>S-M24x85-</v>
      </c>
      <c r="F389" t="e">
        <f>#REF!</f>
        <v>#REF!</v>
      </c>
      <c r="H389" t="e">
        <f>SUMIF(M15:M242,#REF!,#REF!)</f>
        <v>#REF!</v>
      </c>
      <c r="M389" s="58" t="e">
        <f>CONCATENATE("M24x85-",#REF!)</f>
        <v>#REF!</v>
      </c>
    </row>
    <row r="390" spans="3:13" hidden="1" x14ac:dyDescent="0.25">
      <c r="C390" t="str">
        <f>CONCATENATE("S-M24x90-",B390)</f>
        <v>S-M24x90-</v>
      </c>
      <c r="F390" t="e">
        <f>#REF!</f>
        <v>#REF!</v>
      </c>
      <c r="H390" t="e">
        <f>SUMIF(M15:M242,#REF!,#REF!)</f>
        <v>#REF!</v>
      </c>
      <c r="M390" s="58" t="e">
        <f>CONCATENATE("M24x90-",#REF!)</f>
        <v>#REF!</v>
      </c>
    </row>
    <row r="391" spans="3:13" hidden="1" x14ac:dyDescent="0.25">
      <c r="C391" t="str">
        <f>CONCATENATE("S-M24x95-",B391)</f>
        <v>S-M24x95-</v>
      </c>
      <c r="F391" t="e">
        <f>#REF!</f>
        <v>#REF!</v>
      </c>
      <c r="H391" t="e">
        <f>SUMIF(M15:M242,#REF!,#REF!)</f>
        <v>#REF!</v>
      </c>
      <c r="M391" s="58" t="e">
        <f>CONCATENATE("M24x95-",#REF!)</f>
        <v>#REF!</v>
      </c>
    </row>
    <row r="392" spans="3:13" hidden="1" x14ac:dyDescent="0.25">
      <c r="C392" t="str">
        <f>CONCATENATE("S-M24x100-",B392)</f>
        <v>S-M24x100-</v>
      </c>
      <c r="F392" t="e">
        <f>#REF!</f>
        <v>#REF!</v>
      </c>
      <c r="H392" t="e">
        <f>SUMIF(M15:M242,#REF!,#REF!)</f>
        <v>#REF!</v>
      </c>
      <c r="M392" s="58" t="e">
        <f>CONCATENATE("M24x100-",#REF!)</f>
        <v>#REF!</v>
      </c>
    </row>
    <row r="393" spans="3:13" hidden="1" x14ac:dyDescent="0.25">
      <c r="C393" t="str">
        <f>CONCATENATE("S-M24x105-",B393)</f>
        <v>S-M24x105-</v>
      </c>
      <c r="F393" t="e">
        <f>#REF!</f>
        <v>#REF!</v>
      </c>
      <c r="H393" t="e">
        <f>SUMIF(M15:M242,#REF!,#REF!)</f>
        <v>#REF!</v>
      </c>
      <c r="M393" s="58" t="e">
        <f>CONCATENATE("M24x105-",#REF!)</f>
        <v>#REF!</v>
      </c>
    </row>
    <row r="394" spans="3:13" hidden="1" x14ac:dyDescent="0.25">
      <c r="C394" t="str">
        <f>CONCATENATE("S-M24x110-",B394)</f>
        <v>S-M24x110-</v>
      </c>
      <c r="F394" t="e">
        <f>#REF!</f>
        <v>#REF!</v>
      </c>
      <c r="H394" t="e">
        <f>SUMIF(M15:M242,#REF!,#REF!)</f>
        <v>#REF!</v>
      </c>
      <c r="M394" s="58" t="e">
        <f>CONCATENATE("M24x110-",#REF!)</f>
        <v>#REF!</v>
      </c>
    </row>
    <row r="395" spans="3:13" hidden="1" x14ac:dyDescent="0.25">
      <c r="C395" t="str">
        <f>CONCATENATE("S-M24x115-",B395)</f>
        <v>S-M24x115-</v>
      </c>
      <c r="F395" t="e">
        <f>#REF!</f>
        <v>#REF!</v>
      </c>
      <c r="H395" t="e">
        <f>SUMIF(M15:M242,#REF!,#REF!)</f>
        <v>#REF!</v>
      </c>
      <c r="M395" s="58" t="e">
        <f>CONCATENATE("M24x115-",#REF!)</f>
        <v>#REF!</v>
      </c>
    </row>
    <row r="396" spans="3:13" hidden="1" x14ac:dyDescent="0.25">
      <c r="C396" t="str">
        <f>CONCATENATE("S-M24x120-",B396)</f>
        <v>S-M24x120-</v>
      </c>
      <c r="F396" t="e">
        <f>#REF!</f>
        <v>#REF!</v>
      </c>
      <c r="H396" t="e">
        <f>SUMIF(M15:M242,#REF!,#REF!)</f>
        <v>#REF!</v>
      </c>
      <c r="M396" s="58" t="e">
        <f>CONCATENATE("M24x120-",#REF!)</f>
        <v>#REF!</v>
      </c>
    </row>
    <row r="397" spans="3:13" hidden="1" x14ac:dyDescent="0.25">
      <c r="C397" t="str">
        <f>CONCATENATE("S-M24x125-",B397)</f>
        <v>S-M24x125-</v>
      </c>
      <c r="F397" t="e">
        <f>#REF!</f>
        <v>#REF!</v>
      </c>
      <c r="H397" t="e">
        <f>SUMIF(M15:M242,#REF!,#REF!)</f>
        <v>#REF!</v>
      </c>
      <c r="M397" s="58" t="e">
        <f>CONCATENATE("M24x125-",#REF!)</f>
        <v>#REF!</v>
      </c>
    </row>
    <row r="398" spans="3:13" hidden="1" x14ac:dyDescent="0.25">
      <c r="C398" t="str">
        <f>CONCATENATE("S-M24x130-",B398)</f>
        <v>S-M24x130-</v>
      </c>
      <c r="F398" t="e">
        <f>#REF!</f>
        <v>#REF!</v>
      </c>
      <c r="H398" t="e">
        <f>SUMIF(M15:M242,#REF!,#REF!)</f>
        <v>#REF!</v>
      </c>
      <c r="M398" s="58" t="e">
        <f>CONCATENATE("M24x130-",#REF!)</f>
        <v>#REF!</v>
      </c>
    </row>
    <row r="399" spans="3:13" hidden="1" x14ac:dyDescent="0.25">
      <c r="C399" t="str">
        <f>CONCATENATE("S-M24x135-",B399)</f>
        <v>S-M24x135-</v>
      </c>
      <c r="F399" t="e">
        <f>#REF!</f>
        <v>#REF!</v>
      </c>
      <c r="H399" t="e">
        <f>SUMIF(M15:M242,#REF!,#REF!)</f>
        <v>#REF!</v>
      </c>
    </row>
    <row r="400" spans="3:13" hidden="1" x14ac:dyDescent="0.25">
      <c r="C400" t="str">
        <f>CONCATENATE("S-M24x140-",B400)</f>
        <v>S-M24x140-</v>
      </c>
      <c r="F400" t="e">
        <f>#REF!</f>
        <v>#REF!</v>
      </c>
      <c r="H400" t="e">
        <f>SUMIF(M15:M242,#REF!,#REF!)</f>
        <v>#REF!</v>
      </c>
    </row>
    <row r="401" spans="3:13" hidden="1" x14ac:dyDescent="0.25">
      <c r="C401" t="str">
        <f>CONCATENATE("S-M24x145-",B401)</f>
        <v>S-M24x145-</v>
      </c>
      <c r="F401" t="e">
        <f>#REF!</f>
        <v>#REF!</v>
      </c>
      <c r="H401" t="e">
        <f>SUMIF(M15:M242,#REF!,#REF!)</f>
        <v>#REF!</v>
      </c>
    </row>
    <row r="402" spans="3:13" hidden="1" x14ac:dyDescent="0.25">
      <c r="C402" t="str">
        <f>CONCATENATE("S-M24x150-",B402)</f>
        <v>S-M24x150-</v>
      </c>
      <c r="F402" t="e">
        <f>#REF!</f>
        <v>#REF!</v>
      </c>
      <c r="H402" t="e">
        <f>SUMIF(M15:M242,#REF!,#REF!)</f>
        <v>#REF!</v>
      </c>
    </row>
    <row r="403" spans="3:13" hidden="1" x14ac:dyDescent="0.25">
      <c r="C403" t="str">
        <f>CONCATENATE("S-M24x155-",B403)</f>
        <v>S-M24x155-</v>
      </c>
      <c r="F403" t="e">
        <f>#REF!</f>
        <v>#REF!</v>
      </c>
      <c r="H403" t="e">
        <f>SUMIF(M15:M242,#REF!,#REF!)</f>
        <v>#REF!</v>
      </c>
    </row>
    <row r="404" spans="3:13" hidden="1" x14ac:dyDescent="0.25">
      <c r="C404" t="str">
        <f>CONCATENATE("S-M24x160-",B404)</f>
        <v>S-M24x160-</v>
      </c>
      <c r="F404" t="e">
        <f>#REF!</f>
        <v>#REF!</v>
      </c>
      <c r="H404" t="e">
        <f>SUMIF(M15:M242,#REF!,#REF!)</f>
        <v>#REF!</v>
      </c>
    </row>
    <row r="405" spans="3:13" hidden="1" x14ac:dyDescent="0.25">
      <c r="C405" t="str">
        <f>CONCATENATE("S-M24x1650-",B405)</f>
        <v>S-M24x1650-</v>
      </c>
      <c r="F405" t="e">
        <f>#REF!</f>
        <v>#REF!</v>
      </c>
      <c r="H405" t="e">
        <f>SUMIF(M15:M242,#REF!,#REF!)</f>
        <v>#REF!</v>
      </c>
    </row>
    <row r="406" spans="3:13" hidden="1" x14ac:dyDescent="0.25">
      <c r="C406" t="str">
        <f>CONCATENATE("S-M24x170-",B406)</f>
        <v>S-M24x170-</v>
      </c>
      <c r="F406" t="e">
        <f>#REF!</f>
        <v>#REF!</v>
      </c>
      <c r="H406" t="e">
        <f>SUMIF(M15:M242,#REF!,#REF!)</f>
        <v>#REF!</v>
      </c>
    </row>
    <row r="407" spans="3:13" hidden="1" x14ac:dyDescent="0.25">
      <c r="C407" t="str">
        <f>CONCATENATE("S-M24x175-",B407)</f>
        <v>S-M24x175-</v>
      </c>
      <c r="F407" t="e">
        <f>#REF!</f>
        <v>#REF!</v>
      </c>
      <c r="H407" t="e">
        <f>SUMIF(M15:M242,#REF!,#REF!)</f>
        <v>#REF!</v>
      </c>
    </row>
    <row r="408" spans="3:13" hidden="1" x14ac:dyDescent="0.25">
      <c r="C408" t="str">
        <f>CONCATENATE("S-M24x180-",B408)</f>
        <v>S-M24x180-</v>
      </c>
      <c r="F408" t="e">
        <f>#REF!</f>
        <v>#REF!</v>
      </c>
      <c r="H408" t="e">
        <f>SUMIF(M15:M242,#REF!,#REF!)</f>
        <v>#REF!</v>
      </c>
    </row>
    <row r="409" spans="3:13" hidden="1" x14ac:dyDescent="0.25">
      <c r="C409" t="str">
        <f>CONCATENATE("S-M24x1850-",B409)</f>
        <v>S-M24x1850-</v>
      </c>
      <c r="F409" t="e">
        <f>#REF!</f>
        <v>#REF!</v>
      </c>
      <c r="H409" t="e">
        <f>SUMIF(M15:M242,#REF!,#REF!)</f>
        <v>#REF!</v>
      </c>
    </row>
    <row r="410" spans="3:13" hidden="1" x14ac:dyDescent="0.25">
      <c r="C410" t="str">
        <f>CONCATENATE("S-M24x190-",B410)</f>
        <v>S-M24x190-</v>
      </c>
      <c r="F410" t="e">
        <f>#REF!</f>
        <v>#REF!</v>
      </c>
      <c r="H410" t="e">
        <f>SUMIF(M15:M242,#REF!,#REF!)</f>
        <v>#REF!</v>
      </c>
    </row>
    <row r="411" spans="3:13" hidden="1" x14ac:dyDescent="0.25">
      <c r="C411" t="str">
        <f>CONCATENATE("S-M30x25-",B411)</f>
        <v>S-M30x25-</v>
      </c>
      <c r="F411" t="e">
        <f>#REF!</f>
        <v>#REF!</v>
      </c>
      <c r="H411" t="e">
        <f>SUMIF(M15:M242,#REF!,#REF!)</f>
        <v>#REF!</v>
      </c>
      <c r="M411" s="58" t="e">
        <f>CONCATENATE("M30x25-",#REF!)</f>
        <v>#REF!</v>
      </c>
    </row>
    <row r="412" spans="3:13" hidden="1" x14ac:dyDescent="0.25">
      <c r="C412" t="str">
        <f>CONCATENATE("S-M30x30-",B412)</f>
        <v>S-M30x30-</v>
      </c>
      <c r="F412" t="e">
        <f>#REF!</f>
        <v>#REF!</v>
      </c>
      <c r="H412" t="e">
        <f>SUMIF(M15:M242,#REF!,#REF!)</f>
        <v>#REF!</v>
      </c>
      <c r="M412" s="58" t="e">
        <f>CONCATENATE("M30x30-",#REF!)</f>
        <v>#REF!</v>
      </c>
    </row>
    <row r="413" spans="3:13" hidden="1" x14ac:dyDescent="0.25">
      <c r="C413" t="str">
        <f>CONCATENATE("S-M30x35-",B413)</f>
        <v>S-M30x35-</v>
      </c>
      <c r="F413" t="e">
        <f>#REF!</f>
        <v>#REF!</v>
      </c>
      <c r="H413" t="e">
        <f>SUMIF(M15:M242,#REF!,#REF!)</f>
        <v>#REF!</v>
      </c>
      <c r="M413" s="58" t="e">
        <f>CONCATENATE("M30x35-",#REF!)</f>
        <v>#REF!</v>
      </c>
    </row>
    <row r="414" spans="3:13" hidden="1" x14ac:dyDescent="0.25">
      <c r="C414" t="str">
        <f>CONCATENATE("S-M30x40-",B414)</f>
        <v>S-M30x40-</v>
      </c>
      <c r="F414" t="e">
        <f>#REF!</f>
        <v>#REF!</v>
      </c>
      <c r="H414" t="e">
        <f>SUMIF(M15:M242,#REF!,#REF!)</f>
        <v>#REF!</v>
      </c>
      <c r="M414" s="58" t="e">
        <f>CONCATENATE("M30x40-",#REF!)</f>
        <v>#REF!</v>
      </c>
    </row>
    <row r="415" spans="3:13" hidden="1" x14ac:dyDescent="0.25">
      <c r="C415" t="str">
        <f>CONCATENATE("S-M30x45-",B415)</f>
        <v>S-M30x45-</v>
      </c>
      <c r="F415" t="e">
        <f>#REF!</f>
        <v>#REF!</v>
      </c>
      <c r="H415" t="e">
        <f>SUMIF(M15:M242,#REF!,#REF!)</f>
        <v>#REF!</v>
      </c>
      <c r="M415" s="58" t="e">
        <f>CONCATENATE("M30x45-",#REF!)</f>
        <v>#REF!</v>
      </c>
    </row>
    <row r="416" spans="3:13" hidden="1" x14ac:dyDescent="0.25">
      <c r="C416" t="str">
        <f>CONCATENATE("S-M30x50-",B416)</f>
        <v>S-M30x50-</v>
      </c>
      <c r="F416" t="e">
        <f>#REF!</f>
        <v>#REF!</v>
      </c>
      <c r="H416" t="e">
        <f>SUMIF(M15:M242,#REF!,#REF!)</f>
        <v>#REF!</v>
      </c>
      <c r="M416" s="58" t="e">
        <f>CONCATENATE("M30x50-",#REF!)</f>
        <v>#REF!</v>
      </c>
    </row>
    <row r="417" spans="3:13" hidden="1" x14ac:dyDescent="0.25">
      <c r="C417" t="str">
        <f>CONCATENATE("S-M30x55-",B417)</f>
        <v>S-M30x55-</v>
      </c>
      <c r="F417" t="e">
        <f>#REF!</f>
        <v>#REF!</v>
      </c>
      <c r="H417" t="e">
        <f>SUMIF(M15:M242,#REF!,#REF!)</f>
        <v>#REF!</v>
      </c>
      <c r="M417" s="58" t="e">
        <f>CONCATENATE("M30x55-",#REF!)</f>
        <v>#REF!</v>
      </c>
    </row>
    <row r="418" spans="3:13" hidden="1" x14ac:dyDescent="0.25">
      <c r="C418" t="str">
        <f>CONCATENATE("S-M30x60-",B418)</f>
        <v>S-M30x60-</v>
      </c>
      <c r="F418" t="e">
        <f>#REF!</f>
        <v>#REF!</v>
      </c>
      <c r="H418" t="e">
        <f>SUMIF(M15:M242,#REF!,#REF!)</f>
        <v>#REF!</v>
      </c>
      <c r="M418" s="58" t="e">
        <f>CONCATENATE("M30x60-",#REF!)</f>
        <v>#REF!</v>
      </c>
    </row>
    <row r="419" spans="3:13" hidden="1" x14ac:dyDescent="0.25">
      <c r="C419" t="str">
        <f>CONCATENATE("S-M30x65-",B419)</f>
        <v>S-M30x65-</v>
      </c>
      <c r="F419" t="e">
        <f>#REF!</f>
        <v>#REF!</v>
      </c>
      <c r="H419" t="e">
        <f>SUMIF(M15:M242,#REF!,#REF!)</f>
        <v>#REF!</v>
      </c>
      <c r="M419" s="58" t="e">
        <f>CONCATENATE("M30x65-",#REF!)</f>
        <v>#REF!</v>
      </c>
    </row>
    <row r="420" spans="3:13" hidden="1" x14ac:dyDescent="0.25">
      <c r="C420" t="str">
        <f>CONCATENATE("S-M30x70-",B420)</f>
        <v>S-M30x70-</v>
      </c>
      <c r="F420" t="e">
        <f>#REF!</f>
        <v>#REF!</v>
      </c>
      <c r="H420" t="e">
        <f>SUMIF(M15:M242,#REF!,#REF!)</f>
        <v>#REF!</v>
      </c>
      <c r="M420" s="58" t="e">
        <f>CONCATENATE("M30x70-",#REF!)</f>
        <v>#REF!</v>
      </c>
    </row>
    <row r="421" spans="3:13" hidden="1" x14ac:dyDescent="0.25">
      <c r="C421" t="str">
        <f>CONCATENATE("S-M30x75-",B421)</f>
        <v>S-M30x75-</v>
      </c>
      <c r="F421" t="e">
        <f>#REF!</f>
        <v>#REF!</v>
      </c>
      <c r="H421" t="e">
        <f>SUMIF(M15:M242,#REF!,#REF!)</f>
        <v>#REF!</v>
      </c>
      <c r="M421" s="58" t="e">
        <f>CONCATENATE("M30x75-",#REF!)</f>
        <v>#REF!</v>
      </c>
    </row>
    <row r="422" spans="3:13" hidden="1" x14ac:dyDescent="0.25">
      <c r="C422" t="str">
        <f>CONCATENATE("S-M30x80-",B422)</f>
        <v>S-M30x80-</v>
      </c>
      <c r="F422" t="e">
        <f>#REF!</f>
        <v>#REF!</v>
      </c>
      <c r="H422" t="e">
        <f>SUMIF(M15:M242,#REF!,#REF!)</f>
        <v>#REF!</v>
      </c>
      <c r="M422" s="58" t="e">
        <f>CONCATENATE("M30x80-",#REF!)</f>
        <v>#REF!</v>
      </c>
    </row>
    <row r="423" spans="3:13" hidden="1" x14ac:dyDescent="0.25">
      <c r="C423" t="str">
        <f>CONCATENATE("S-M30x85-",B423)</f>
        <v>S-M30x85-</v>
      </c>
      <c r="F423" t="e">
        <f>#REF!</f>
        <v>#REF!</v>
      </c>
      <c r="H423" t="e">
        <f>SUMIF(M15:M242,#REF!,#REF!)</f>
        <v>#REF!</v>
      </c>
      <c r="M423" s="58" t="e">
        <f>CONCATENATE("M30x85-",#REF!)</f>
        <v>#REF!</v>
      </c>
    </row>
    <row r="424" spans="3:13" hidden="1" x14ac:dyDescent="0.25">
      <c r="C424" t="str">
        <f>CONCATENATE("S-M30x90-",B424)</f>
        <v>S-M30x90-</v>
      </c>
      <c r="F424" t="e">
        <f>#REF!</f>
        <v>#REF!</v>
      </c>
      <c r="H424" t="e">
        <f>SUMIF(M15:M242,#REF!,#REF!)</f>
        <v>#REF!</v>
      </c>
      <c r="M424" s="58" t="e">
        <f>CONCATENATE("M30x90-",#REF!)</f>
        <v>#REF!</v>
      </c>
    </row>
    <row r="425" spans="3:13" hidden="1" x14ac:dyDescent="0.25">
      <c r="C425" t="str">
        <f>CONCATENATE("S-M30x95-",B425)</f>
        <v>S-M30x95-</v>
      </c>
      <c r="F425" t="e">
        <f>#REF!</f>
        <v>#REF!</v>
      </c>
      <c r="H425" t="e">
        <f>SUMIF(M15:M242,#REF!,#REF!)</f>
        <v>#REF!</v>
      </c>
      <c r="M425" s="58" t="e">
        <f>CONCATENATE("M30x95-",#REF!)</f>
        <v>#REF!</v>
      </c>
    </row>
    <row r="426" spans="3:13" hidden="1" x14ac:dyDescent="0.25">
      <c r="C426" t="str">
        <f>CONCATENATE("S-M30x100-",B426)</f>
        <v>S-M30x100-</v>
      </c>
      <c r="F426" t="e">
        <f>#REF!</f>
        <v>#REF!</v>
      </c>
      <c r="H426" t="e">
        <f>SUMIF(M15:M242,#REF!,#REF!)</f>
        <v>#REF!</v>
      </c>
      <c r="M426" s="58" t="e">
        <f>CONCATENATE("M30x100-",#REF!)</f>
        <v>#REF!</v>
      </c>
    </row>
    <row r="427" spans="3:13" hidden="1" x14ac:dyDescent="0.25">
      <c r="C427" t="str">
        <f>CONCATENATE("S-M30x105-",B427)</f>
        <v>S-M30x105-</v>
      </c>
      <c r="F427" t="e">
        <f>#REF!</f>
        <v>#REF!</v>
      </c>
      <c r="H427" t="e">
        <f>SUMIF(M15:M242,#REF!,#REF!)</f>
        <v>#REF!</v>
      </c>
      <c r="M427" s="58" t="e">
        <f>CONCATENATE("M30x105-",#REF!)</f>
        <v>#REF!</v>
      </c>
    </row>
    <row r="428" spans="3:13" hidden="1" x14ac:dyDescent="0.25">
      <c r="C428" t="str">
        <f>CONCATENATE("S-M30x110-",B428)</f>
        <v>S-M30x110-</v>
      </c>
      <c r="F428" t="e">
        <f>#REF!</f>
        <v>#REF!</v>
      </c>
      <c r="H428" t="e">
        <f>SUMIF(M15:M242,#REF!,#REF!)</f>
        <v>#REF!</v>
      </c>
      <c r="M428" s="58" t="e">
        <f>CONCATENATE("M30x110-",#REF!)</f>
        <v>#REF!</v>
      </c>
    </row>
    <row r="429" spans="3:13" hidden="1" x14ac:dyDescent="0.25">
      <c r="C429" t="str">
        <f>CONCATENATE("S-M30x115-",B429)</f>
        <v>S-M30x115-</v>
      </c>
      <c r="F429" t="e">
        <f>#REF!</f>
        <v>#REF!</v>
      </c>
      <c r="H429" t="e">
        <f>SUMIF(M15:M242,#REF!,#REF!)</f>
        <v>#REF!</v>
      </c>
      <c r="M429" s="58" t="e">
        <f>CONCATENATE("M30x115-",#REF!)</f>
        <v>#REF!</v>
      </c>
    </row>
    <row r="430" spans="3:13" hidden="1" x14ac:dyDescent="0.25">
      <c r="C430" t="str">
        <f>CONCATENATE("S-M30x120-",B430)</f>
        <v>S-M30x120-</v>
      </c>
      <c r="F430" t="e">
        <f>#REF!</f>
        <v>#REF!</v>
      </c>
      <c r="H430" t="e">
        <f>SUMIF(M15:M242,#REF!,#REF!)</f>
        <v>#REF!</v>
      </c>
      <c r="M430" s="58" t="e">
        <f>CONCATENATE("M30x120-",#REF!)</f>
        <v>#REF!</v>
      </c>
    </row>
    <row r="431" spans="3:13" hidden="1" x14ac:dyDescent="0.25">
      <c r="C431" t="str">
        <f>CONCATENATE("S-M30x125-",B431)</f>
        <v>S-M30x125-</v>
      </c>
      <c r="F431" t="e">
        <f>#REF!</f>
        <v>#REF!</v>
      </c>
      <c r="H431" t="e">
        <f>SUMIF(M15:M242,#REF!,#REF!)</f>
        <v>#REF!</v>
      </c>
      <c r="M431" s="58" t="e">
        <f>CONCATENATE("M30x125-",#REF!)</f>
        <v>#REF!</v>
      </c>
    </row>
    <row r="432" spans="3:13" hidden="1" x14ac:dyDescent="0.25">
      <c r="C432" t="str">
        <f>CONCATENATE("S-M30x130-",B432)</f>
        <v>S-M30x130-</v>
      </c>
      <c r="F432" t="e">
        <f>#REF!</f>
        <v>#REF!</v>
      </c>
      <c r="H432" t="e">
        <f>SUMIF(M15:M242,#REF!,#REF!)</f>
        <v>#REF!</v>
      </c>
      <c r="M432" s="58" t="e">
        <f>CONCATENATE("M30x130-",#REF!)</f>
        <v>#REF!</v>
      </c>
    </row>
    <row r="433" spans="6:6" hidden="1" x14ac:dyDescent="0.25">
      <c r="F433" t="e">
        <f>#REF!</f>
        <v>#REF!</v>
      </c>
    </row>
    <row r="434" spans="6:6" hidden="1" x14ac:dyDescent="0.25">
      <c r="F434" t="e">
        <f>#REF!</f>
        <v>#REF!</v>
      </c>
    </row>
    <row r="435" spans="6:6" hidden="1" x14ac:dyDescent="0.25">
      <c r="F435" t="e">
        <f>#REF!</f>
        <v>#REF!</v>
      </c>
    </row>
  </sheetData>
  <mergeCells count="197">
    <mergeCell ref="D1:I5"/>
    <mergeCell ref="AM6:AQ6"/>
    <mergeCell ref="CI3:CM4"/>
    <mergeCell ref="CP17:CS17"/>
    <mergeCell ref="CJ35:CM35"/>
    <mergeCell ref="CP31:CS31"/>
    <mergeCell ref="CJ22:CM22"/>
    <mergeCell ref="CV16:CY16"/>
    <mergeCell ref="AM3:AQ4"/>
    <mergeCell ref="CP19:CS19"/>
    <mergeCell ref="AA6:AE6"/>
    <mergeCell ref="BQ3:BU4"/>
    <mergeCell ref="AY3:BC4"/>
    <mergeCell ref="Z1:AJ1"/>
    <mergeCell ref="BW3:CA4"/>
    <mergeCell ref="AG3:AK4"/>
    <mergeCell ref="AA3:AE4"/>
    <mergeCell ref="AS3:AW4"/>
    <mergeCell ref="CC3:CG4"/>
    <mergeCell ref="BE3:BI4"/>
    <mergeCell ref="CV23:CY23"/>
    <mergeCell ref="CV29:CY29"/>
    <mergeCell ref="J7:T7"/>
    <mergeCell ref="CJ25:CM25"/>
    <mergeCell ref="AY6:BC6"/>
    <mergeCell ref="G243:I243"/>
    <mergeCell ref="CJ48:CM48"/>
    <mergeCell ref="AS6:AW6"/>
    <mergeCell ref="CC6:CG6"/>
    <mergeCell ref="CJ18:CM18"/>
    <mergeCell ref="CU12:CY12"/>
    <mergeCell ref="CJ43:CM43"/>
    <mergeCell ref="CP36:CS36"/>
    <mergeCell ref="CI13:CM13"/>
    <mergeCell ref="CP46:CS46"/>
    <mergeCell ref="CV14:CY14"/>
    <mergeCell ref="CP22:CS22"/>
    <mergeCell ref="CP27:CS27"/>
    <mergeCell ref="BK6:BO6"/>
    <mergeCell ref="CP20:CS20"/>
    <mergeCell ref="CO12:CS12"/>
    <mergeCell ref="CU6:CY6"/>
    <mergeCell ref="CP44:CS44"/>
    <mergeCell ref="CV28:CY28"/>
    <mergeCell ref="CJ39:CM39"/>
    <mergeCell ref="CP32:CS32"/>
    <mergeCell ref="CP40:CS40"/>
    <mergeCell ref="CP37:CS37"/>
    <mergeCell ref="AG6:AK6"/>
    <mergeCell ref="B39:B42"/>
    <mergeCell ref="B139:B143"/>
    <mergeCell ref="G50:I50"/>
    <mergeCell ref="E139:E143"/>
    <mergeCell ref="C66:C67"/>
    <mergeCell ref="C91:C94"/>
    <mergeCell ref="C250:C251"/>
    <mergeCell ref="S13:T13"/>
    <mergeCell ref="C70:C71"/>
    <mergeCell ref="B135:B138"/>
    <mergeCell ref="C83:C84"/>
    <mergeCell ref="B81:B82"/>
    <mergeCell ref="G242:I242"/>
    <mergeCell ref="B130:B134"/>
    <mergeCell ref="E126:E129"/>
    <mergeCell ref="E135:E138"/>
    <mergeCell ref="J8:T8"/>
    <mergeCell ref="E75:E76"/>
    <mergeCell ref="C95:C97"/>
    <mergeCell ref="G241:I241"/>
    <mergeCell ref="C77:C78"/>
    <mergeCell ref="B66:B67"/>
    <mergeCell ref="G132:I132"/>
    <mergeCell ref="B43:B47"/>
    <mergeCell ref="CJ44:CM44"/>
    <mergeCell ref="B83:B84"/>
    <mergeCell ref="C252:C253"/>
    <mergeCell ref="G240:I240"/>
    <mergeCell ref="CP21:CS21"/>
    <mergeCell ref="G141:I141"/>
    <mergeCell ref="CJ46:CM46"/>
    <mergeCell ref="G137:I137"/>
    <mergeCell ref="B98:B99"/>
    <mergeCell ref="B114:B115"/>
    <mergeCell ref="B77:B78"/>
    <mergeCell ref="C100:C101"/>
    <mergeCell ref="G54:I54"/>
    <mergeCell ref="B79:B80"/>
    <mergeCell ref="E81:E82"/>
    <mergeCell ref="B70:B71"/>
    <mergeCell ref="C75:C76"/>
    <mergeCell ref="B95:B97"/>
    <mergeCell ref="E77:E78"/>
    <mergeCell ref="B48:B51"/>
    <mergeCell ref="CJ45:CM45"/>
    <mergeCell ref="CJ32:CM32"/>
    <mergeCell ref="CP48:CS48"/>
    <mergeCell ref="CJ47:CM47"/>
    <mergeCell ref="CV19:CY19"/>
    <mergeCell ref="CJ16:CM16"/>
    <mergeCell ref="CJ21:CM21"/>
    <mergeCell ref="CJ19:CM19"/>
    <mergeCell ref="CP15:CS15"/>
    <mergeCell ref="CP24:CS24"/>
    <mergeCell ref="CJ42:CM42"/>
    <mergeCell ref="CJ20:CM20"/>
    <mergeCell ref="CJ37:CM37"/>
    <mergeCell ref="CP33:CS33"/>
    <mergeCell ref="CJ24:CM24"/>
    <mergeCell ref="CJ33:CM33"/>
    <mergeCell ref="CJ34:CM34"/>
    <mergeCell ref="CP26:CS26"/>
    <mergeCell ref="CP45:CS45"/>
    <mergeCell ref="CP39:CS39"/>
    <mergeCell ref="CJ36:CM36"/>
    <mergeCell ref="CP29:CS29"/>
    <mergeCell ref="CP18:CS18"/>
    <mergeCell ref="DB21:DE21"/>
    <mergeCell ref="CP14:CS14"/>
    <mergeCell ref="CJ30:CM30"/>
    <mergeCell ref="CP23:CS23"/>
    <mergeCell ref="DB23:DE23"/>
    <mergeCell ref="DB19:DE19"/>
    <mergeCell ref="DB28:DE28"/>
    <mergeCell ref="DB26:DE26"/>
    <mergeCell ref="CP16:CS16"/>
    <mergeCell ref="D240:D243"/>
    <mergeCell ref="CV25:CY25"/>
    <mergeCell ref="CJ40:CM40"/>
    <mergeCell ref="CJ49:CM49"/>
    <mergeCell ref="CP42:CS42"/>
    <mergeCell ref="CJ27:CM27"/>
    <mergeCell ref="G128:I128"/>
    <mergeCell ref="DB20:DE20"/>
    <mergeCell ref="B126:B129"/>
    <mergeCell ref="DB25:DE25"/>
    <mergeCell ref="CP35:CS35"/>
    <mergeCell ref="E130:E134"/>
    <mergeCell ref="CJ23:CM23"/>
    <mergeCell ref="DB24:DE24"/>
    <mergeCell ref="CP30:CS30"/>
    <mergeCell ref="C81:C82"/>
    <mergeCell ref="CV22:CY22"/>
    <mergeCell ref="CP47:CS47"/>
    <mergeCell ref="B91:B94"/>
    <mergeCell ref="B52:B56"/>
    <mergeCell ref="B75:B76"/>
    <mergeCell ref="DB29:DE29"/>
    <mergeCell ref="DB27:DE27"/>
    <mergeCell ref="CP25:CS25"/>
    <mergeCell ref="B100:B101"/>
    <mergeCell ref="DB18:DE18"/>
    <mergeCell ref="CJ14:CM14"/>
    <mergeCell ref="CJ29:CM29"/>
    <mergeCell ref="CV20:CY20"/>
    <mergeCell ref="CP38:CS38"/>
    <mergeCell ref="CJ28:CM28"/>
    <mergeCell ref="G45:I45"/>
    <mergeCell ref="DB22:DE22"/>
    <mergeCell ref="DB16:DE16"/>
    <mergeCell ref="CJ38:CM38"/>
    <mergeCell ref="CV26:CY26"/>
    <mergeCell ref="DB30:DE30"/>
    <mergeCell ref="CP41:CS41"/>
    <mergeCell ref="CJ31:CM31"/>
    <mergeCell ref="CV30:CY30"/>
    <mergeCell ref="CP49:CS49"/>
    <mergeCell ref="CV18:CY18"/>
    <mergeCell ref="CJ26:CM26"/>
    <mergeCell ref="CV21:CY21"/>
    <mergeCell ref="DB15:DE15"/>
    <mergeCell ref="G41:I41"/>
    <mergeCell ref="CV15:CY15"/>
    <mergeCell ref="CV24:CY24"/>
    <mergeCell ref="C79:C80"/>
    <mergeCell ref="E79:E80"/>
    <mergeCell ref="DA13:DE13"/>
    <mergeCell ref="D6:I6"/>
    <mergeCell ref="BK3:BO4"/>
    <mergeCell ref="CJ15:CM15"/>
    <mergeCell ref="DA12:DE12"/>
    <mergeCell ref="BE6:BI6"/>
    <mergeCell ref="CP43:CS43"/>
    <mergeCell ref="BW6:CA6"/>
    <mergeCell ref="CV27:CY27"/>
    <mergeCell ref="CJ17:CM17"/>
    <mergeCell ref="BQ6:BU6"/>
    <mergeCell ref="DB17:DE17"/>
    <mergeCell ref="CI6:CM6"/>
    <mergeCell ref="CV17:CY17"/>
    <mergeCell ref="CJ41:CM41"/>
    <mergeCell ref="CO13:CS13"/>
    <mergeCell ref="CP34:CS34"/>
    <mergeCell ref="CP28:CS28"/>
    <mergeCell ref="CU13:CY13"/>
    <mergeCell ref="DB14:DE14"/>
    <mergeCell ref="CO6:CS6"/>
    <mergeCell ref="DA6:DE6"/>
  </mergeCells>
  <dataValidations count="20">
    <dataValidation type="list" allowBlank="1" showInputMessage="1" showErrorMessage="1" sqref="F144 F224" xr:uid="{00000000-0002-0000-0100-000000000000}">
      <formula1>"M5,M6,M8,M10,M12,M16,M20,M24,M30,M36"</formula1>
    </dataValidation>
    <dataValidation type="list" allowBlank="1" showInputMessage="1" showErrorMessage="1" sqref="F37" xr:uid="{00000000-0002-0000-0100-000001000000}">
      <formula1>"M16,M20,M24"</formula1>
    </dataValidation>
    <dataValidation type="list" allowBlank="1" showInputMessage="1" showErrorMessage="1" sqref="F57:F65 F75 F77 F79 F81 F83 F86:F96 F98:F111 F114:F115 F152:F153 F156:F160 F173:F177 F190:F194" xr:uid="{00000000-0002-0000-0100-000002000000}">
      <formula1>"M5,M6,M8,M10,M12,M16,M20,M24"</formula1>
    </dataValidation>
    <dataValidation type="list" allowBlank="1" showInputMessage="1" showErrorMessage="1" sqref="C70:C71" xr:uid="{00000000-0002-0000-0100-000003000000}">
      <formula1>"SD-66/REF-1, SD-66/REF-2, SD-66/REF-3, SD-66/REF-4"</formula1>
    </dataValidation>
    <dataValidation type="list" allowBlank="1" showInputMessage="1" showErrorMessage="1" sqref="D86:D87 D93:D94 D97" xr:uid="{00000000-0002-0000-0100-000004000000}">
      <formula1>"SD-267,SD-268,SD-269,SD-270,SD-272,-"</formula1>
    </dataValidation>
    <dataValidation type="list" allowBlank="1" showInputMessage="1" showErrorMessage="1" sqref="F76 F78 F80 F82 F84 F112:F113 F117:F123 F162:F171 F179:F188 F196:F204 F207:F223 F226:F237" xr:uid="{00000000-0002-0000-0100-000005000000}">
      <formula1>"M4,M5,M6,M8,M10,M12,M16,M20,M24"</formula1>
    </dataValidation>
    <dataValidation type="list" allowBlank="1" showInputMessage="1" showErrorMessage="1" sqref="F240:F251" xr:uid="{00000000-0002-0000-0100-000006000000}">
      <formula1>"M12,M16,M20,M24,M30,M36"</formula1>
    </dataValidation>
    <dataValidation type="list" allowBlank="1" showInputMessage="1" showErrorMessage="1" sqref="C66:C67" xr:uid="{00000000-0002-0000-0100-000007000000}">
      <formula1>"SUPPORT 1,SUPPORT 2,SUPPORT 3,SUPPORT 4"</formula1>
    </dataValidation>
    <dataValidation type="list" allowBlank="1" showInputMessage="1" showErrorMessage="1" sqref="F116" xr:uid="{00000000-0002-0000-0100-000008000000}">
      <formula1>"M16,M20"</formula1>
    </dataValidation>
    <dataValidation type="list" allowBlank="1" showInputMessage="1" showErrorMessage="1" sqref="D57:D64 D85:D123 D152:D153 D157:D159 D166:D171 D174:D176 D183:D188 D191:D193 D200:D204 D207:D222 D226:D237" xr:uid="{00000000-0002-0000-0100-000009000000}">
      <formula1>"SD-267,SD-268,SD-269,SD-270,SD-272"</formula1>
    </dataValidation>
    <dataValidation type="list" allowBlank="1" showInputMessage="1" showErrorMessage="1" sqref="C57:C64 C111 C152:C153 C156 C160 C173 C177 C190 C194" xr:uid="{00000000-0002-0000-0100-00000A000000}">
      <formula1>"ASM-1, ASM-2, ASM-3, ASM-4, ASM-5, ASM-6, ASM-7, ASM-8, ASM-9, ASM-10, ASM-11, ASM-12, ASM-13, ASM-14"</formula1>
    </dataValidation>
    <dataValidation type="list" allowBlank="1" showInputMessage="1" showErrorMessage="1" sqref="C42 C47 C51 C56 C129 C134 C138 C143 C161 C178 C195" xr:uid="{00000000-0002-0000-0100-00000B000000}">
      <formula1>"CT, NO CT"</formula1>
    </dataValidation>
    <dataValidation type="list" allowBlank="1" showInputMessage="1" showErrorMessage="1" sqref="C39 C43 C46 C48 C52 C55 C126 C130 C133 C135 C139 C142" xr:uid="{00000000-0002-0000-0100-00000C000000}">
      <formula1>"Ø300,Ø350,Ø400,Ø450,Ø500,Ø550,Ø600,Ø650,Ø700,Ø750,Ø800,Ø850,Ø900,Ø950,Ø1000,NA"</formula1>
    </dataValidation>
    <dataValidation type="list" allowBlank="1" showInputMessage="1" showErrorMessage="1" sqref="C41 C45 C50 C54 C128 C132 C137 C141" xr:uid="{00000000-0002-0000-0100-00000D000000}">
      <formula1>"SD-11/01,SD-11/02,SD-11/03,SD-11/04,SD-11/05,SD-11/06,SD-11/07,SD-11/08,SD-11/09,SD-11/10,SD-11/11,NA"</formula1>
    </dataValidation>
    <dataValidation type="list" allowBlank="1" showInputMessage="1" showErrorMessage="1" sqref="E86:E87" xr:uid="{00000000-0002-0000-0100-00000E000000}">
      <formula1>"SD-18 REF-1,SD-18 REF-2"</formula1>
    </dataValidation>
    <dataValidation type="list" allowBlank="1" showInputMessage="1" showErrorMessage="1" sqref="C38" xr:uid="{00000000-0002-0000-0100-00000F000000}">
      <formula1>"0,4,6,8"</formula1>
    </dataValidation>
    <dataValidation type="list" allowBlank="1" showInputMessage="1" showErrorMessage="1" sqref="E38" xr:uid="{00000000-0002-0000-0100-000010000000}">
      <formula1>"280 ( SD-94 ), 280 TWIN, 250 ( SD-92 ) "</formula1>
    </dataValidation>
    <dataValidation type="list" allowBlank="1" showInputMessage="1" showErrorMessage="1" sqref="B103" xr:uid="{00000000-0002-0000-0100-000011000000}">
      <formula1>"BEVEL GEAR SUPPORT TO TANK ( CTR ), BEVEL GEAR SUPPORT TO TANK ( ESUN )"</formula1>
    </dataValidation>
    <dataValidation type="list" allowBlank="1" showInputMessage="1" showErrorMessage="1" sqref="C4:C5" xr:uid="{00000000-0002-0000-0100-000012000000}">
      <formula1>"SS,HDG,HDG-8.8"</formula1>
    </dataValidation>
    <dataValidation type="list" allowBlank="1" showInputMessage="1" showErrorMessage="1" sqref="C72:C74" xr:uid="{00000000-0002-0000-0100-000013000000}">
      <formula1>"PART 1,PART 2,PART 3"</formula1>
    </dataValidation>
  </dataValidations>
  <pageMargins left="0.5" right="0.5" top="0.75" bottom="0.75" header="0.3" footer="0.3"/>
  <pageSetup paperSize="9" scale="52" fitToHeight="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 filterMode="1">
    <pageSetUpPr fitToPage="1"/>
  </sheetPr>
  <dimension ref="B2:N245"/>
  <sheetViews>
    <sheetView view="pageBreakPreview" zoomScaleNormal="100" zoomScaleSheetLayoutView="100" workbookViewId="0">
      <selection activeCell="F10" sqref="F10"/>
    </sheetView>
  </sheetViews>
  <sheetFormatPr defaultRowHeight="15" x14ac:dyDescent="0.25"/>
  <cols>
    <col min="1" max="1" width="2.42578125" customWidth="1"/>
    <col min="2" max="2" width="3" style="3" customWidth="1"/>
    <col min="3" max="3" width="3.28515625" style="3" customWidth="1"/>
    <col min="4" max="5" width="30.7109375" style="4" customWidth="1"/>
    <col min="6" max="6" width="20.7109375" style="3" customWidth="1"/>
    <col min="7" max="11" width="10.7109375" style="3" customWidth="1"/>
    <col min="12" max="12" width="10.7109375" style="5" customWidth="1"/>
  </cols>
  <sheetData>
    <row r="2" spans="2:14" ht="17.45" customHeight="1" x14ac:dyDescent="0.25">
      <c r="D2" s="163"/>
      <c r="E2" s="169"/>
      <c r="F2" s="172" t="s">
        <v>0</v>
      </c>
      <c r="G2" s="200"/>
      <c r="H2" s="169"/>
      <c r="I2" s="107" t="s">
        <v>1</v>
      </c>
      <c r="J2" s="108"/>
      <c r="K2" s="108"/>
      <c r="L2" s="109"/>
    </row>
    <row r="3" spans="2:14" ht="17.45" customHeight="1" x14ac:dyDescent="0.25">
      <c r="D3" s="170"/>
      <c r="E3" s="162"/>
      <c r="F3" s="170"/>
      <c r="G3" s="186"/>
      <c r="H3" s="162"/>
      <c r="I3" s="95" t="s">
        <v>2</v>
      </c>
      <c r="J3" s="94"/>
      <c r="K3" s="94"/>
      <c r="L3" s="110"/>
    </row>
    <row r="4" spans="2:14" ht="17.45" customHeight="1" x14ac:dyDescent="0.25">
      <c r="D4" s="171"/>
      <c r="E4" s="168"/>
      <c r="F4" s="171"/>
      <c r="G4" s="167"/>
      <c r="H4" s="168"/>
      <c r="I4" s="114" t="s">
        <v>3</v>
      </c>
      <c r="J4" s="161" t="str">
        <f>'TANK HARDWARE'!K6</f>
        <v>XX.XX.XX</v>
      </c>
      <c r="K4" s="186"/>
      <c r="L4" s="162"/>
    </row>
    <row r="5" spans="2:14" x14ac:dyDescent="0.25">
      <c r="D5" s="87" t="s">
        <v>4</v>
      </c>
      <c r="E5" s="28">
        <f>'TANK HARDWARE'!C1</f>
        <v>6449</v>
      </c>
      <c r="F5" s="96" t="s">
        <v>5</v>
      </c>
      <c r="G5" s="117" t="str">
        <f>'TANK HARDWARE'!C3</f>
        <v>XXXX</v>
      </c>
      <c r="H5" s="118"/>
      <c r="I5" s="118"/>
      <c r="J5" s="118"/>
      <c r="K5" s="118"/>
      <c r="L5" s="119"/>
    </row>
    <row r="6" spans="2:14" x14ac:dyDescent="0.25">
      <c r="D6" s="87" t="s">
        <v>6</v>
      </c>
      <c r="E6" s="88" t="str">
        <f>'TANK HARDWARE'!K6</f>
        <v>XX.XX.XX</v>
      </c>
      <c r="F6" s="96" t="s">
        <v>7</v>
      </c>
      <c r="G6" s="115" t="str">
        <f>'TANK HARDWARE'!C2</f>
        <v>125 MVA,230/33kV</v>
      </c>
      <c r="H6" s="89"/>
      <c r="I6" s="89"/>
      <c r="J6" s="89"/>
      <c r="K6" s="89"/>
      <c r="L6" s="116"/>
    </row>
    <row r="7" spans="2:14" x14ac:dyDescent="0.25">
      <c r="D7" s="163"/>
      <c r="E7" s="164"/>
      <c r="F7" s="175" t="s">
        <v>736</v>
      </c>
      <c r="G7" s="164"/>
      <c r="H7" s="166"/>
      <c r="I7" s="167"/>
      <c r="J7" s="167"/>
      <c r="K7" s="167"/>
      <c r="L7" s="168"/>
    </row>
    <row r="8" spans="2:14" x14ac:dyDescent="0.25">
      <c r="D8" s="207" t="s">
        <v>737</v>
      </c>
      <c r="E8" s="164"/>
      <c r="F8" s="112" t="s">
        <v>738</v>
      </c>
      <c r="G8" s="112" t="s">
        <v>739</v>
      </c>
      <c r="H8" s="112" t="s">
        <v>12</v>
      </c>
      <c r="I8" s="112" t="s">
        <v>13</v>
      </c>
      <c r="J8" s="112" t="s">
        <v>14</v>
      </c>
      <c r="K8" s="112" t="s">
        <v>15</v>
      </c>
      <c r="L8" s="112" t="s">
        <v>740</v>
      </c>
    </row>
    <row r="9" spans="2:14" x14ac:dyDescent="0.25">
      <c r="B9" s="3" t="s">
        <v>56</v>
      </c>
      <c r="D9" s="203" t="str">
        <f>'TANK HARDWARE'!B14</f>
        <v>VALVES &amp; FLANGE JOINTS (T-20 / T-21 / T-25)</v>
      </c>
      <c r="E9" s="206"/>
      <c r="F9" s="186"/>
      <c r="G9" s="186"/>
      <c r="H9" s="186"/>
      <c r="I9" s="186"/>
      <c r="J9" s="186"/>
      <c r="K9" s="186"/>
      <c r="L9" s="162"/>
    </row>
    <row r="10" spans="2:14" x14ac:dyDescent="0.25">
      <c r="B10" s="3">
        <f t="shared" ref="B10:B41" si="0">IF(H10=0,0,1)</f>
        <v>1</v>
      </c>
      <c r="C10" s="3">
        <f t="shared" ref="C10:C29" si="1">B10+C9</f>
        <v>1</v>
      </c>
      <c r="D10" s="177" t="str">
        <f>'TANK HARDWARE'!B15</f>
        <v xml:space="preserve">15NB GATE VALVE ASSEMBLY (SAMPLING) </v>
      </c>
      <c r="E10" s="164"/>
      <c r="F10" s="7" t="str">
        <f>'TANK HARDWARE'!M15</f>
        <v>M12x35-HDG-8.8</v>
      </c>
      <c r="G10" s="7">
        <f>'TANK HARDWARE'!N15</f>
        <v>8</v>
      </c>
      <c r="H10" s="7">
        <v>8</v>
      </c>
      <c r="I10" s="7">
        <f>'TANK HARDWARE'!Q15</f>
        <v>8</v>
      </c>
      <c r="J10" s="7">
        <f>'TANK HARDWARE'!R15</f>
        <v>16</v>
      </c>
      <c r="K10" s="7">
        <f>'TANK HARDWARE'!P15</f>
        <v>0</v>
      </c>
      <c r="L10" s="34" t="str">
        <f>'TANK HARDWARE'!D15</f>
        <v>SD-268</v>
      </c>
      <c r="N10">
        <f>SUMIF(F10:F29,"M12x60-HDG",G10:G29)</f>
        <v>0</v>
      </c>
    </row>
    <row r="11" spans="2:14" x14ac:dyDescent="0.25">
      <c r="B11" s="3">
        <f t="shared" si="0"/>
        <v>1</v>
      </c>
      <c r="C11" s="3">
        <f t="shared" si="1"/>
        <v>2</v>
      </c>
      <c r="D11" s="177" t="str">
        <f>'TANK HARDWARE'!B16</f>
        <v>25NB GATE VALVE ASSEMBLY (SAMPLING/DGA/NIFPS/ODS)</v>
      </c>
      <c r="E11" s="164"/>
      <c r="F11" s="7" t="str">
        <f>'TANK HARDWARE'!M16</f>
        <v>M12x50-HDG-8.8</v>
      </c>
      <c r="G11" s="7">
        <f>'TANK HARDWARE'!N16</f>
        <v>8</v>
      </c>
      <c r="H11" s="7">
        <f>'TANK HARDWARE'!O16</f>
        <v>8</v>
      </c>
      <c r="I11" s="7">
        <f>'TANK HARDWARE'!Q16</f>
        <v>8</v>
      </c>
      <c r="J11" s="7">
        <f>'TANK HARDWARE'!R16</f>
        <v>16</v>
      </c>
      <c r="K11" s="7">
        <f>'TANK HARDWARE'!P16</f>
        <v>0</v>
      </c>
      <c r="L11" s="34" t="str">
        <f>'TANK HARDWARE'!D16</f>
        <v>SD-268</v>
      </c>
    </row>
    <row r="12" spans="2:14" x14ac:dyDescent="0.25">
      <c r="B12" s="3">
        <f t="shared" si="0"/>
        <v>1</v>
      </c>
      <c r="C12" s="3">
        <f t="shared" si="1"/>
        <v>3</v>
      </c>
      <c r="D12" s="177" t="str">
        <f>'TANK HARDWARE'!B17</f>
        <v xml:space="preserve">50NB GATE VALVE ASSEMBLY (TOP &amp; BOTTOM FILTER) </v>
      </c>
      <c r="E12" s="164"/>
      <c r="F12" s="7" t="str">
        <f>'TANK HARDWARE'!M17</f>
        <v>M16x60-HDG-8.8</v>
      </c>
      <c r="G12" s="7">
        <f>'TANK HARDWARE'!N17</f>
        <v>8</v>
      </c>
      <c r="H12" s="7">
        <f>'TANK HARDWARE'!O17</f>
        <v>8</v>
      </c>
      <c r="I12" s="7">
        <f>'TANK HARDWARE'!Q17</f>
        <v>8</v>
      </c>
      <c r="J12" s="7">
        <f>'TANK HARDWARE'!R17</f>
        <v>16</v>
      </c>
      <c r="K12" s="7">
        <f>'TANK HARDWARE'!P17</f>
        <v>0</v>
      </c>
      <c r="L12" s="34" t="str">
        <f>'TANK HARDWARE'!D17</f>
        <v>SD-268</v>
      </c>
    </row>
    <row r="13" spans="2:14" x14ac:dyDescent="0.25">
      <c r="B13" s="3">
        <f t="shared" si="0"/>
        <v>1</v>
      </c>
      <c r="C13" s="3">
        <f t="shared" si="1"/>
        <v>4</v>
      </c>
      <c r="D13" s="177" t="str">
        <f>'TANK HARDWARE'!B18</f>
        <v xml:space="preserve">80NB GATE VALVE ASSEMBLY (BOTTOM DRAIN) </v>
      </c>
      <c r="E13" s="164"/>
      <c r="F13" s="7" t="str">
        <f>'TANK HARDWARE'!M18</f>
        <v>M16x60-HDG-8.8</v>
      </c>
      <c r="G13" s="7">
        <f>'TANK HARDWARE'!N18</f>
        <v>8</v>
      </c>
      <c r="H13" s="7">
        <f>'TANK HARDWARE'!O18</f>
        <v>8</v>
      </c>
      <c r="I13" s="7">
        <f>'TANK HARDWARE'!Q18</f>
        <v>8</v>
      </c>
      <c r="J13" s="7">
        <f>'TANK HARDWARE'!R18</f>
        <v>16</v>
      </c>
      <c r="K13" s="7">
        <f>'TANK HARDWARE'!P18</f>
        <v>0</v>
      </c>
      <c r="L13" s="34" t="str">
        <f>'TANK HARDWARE'!D18</f>
        <v>SD-268</v>
      </c>
    </row>
    <row r="14" spans="2:14" x14ac:dyDescent="0.25">
      <c r="B14" s="3">
        <f t="shared" si="0"/>
        <v>1</v>
      </c>
      <c r="C14" s="3">
        <f t="shared" si="1"/>
        <v>5</v>
      </c>
      <c r="D14" s="177" t="str">
        <f>'TANK HARDWARE'!B19</f>
        <v>100NB GATE VALVE ASSEMBLY (BOTTOM/QUICK DRAIN)</v>
      </c>
      <c r="E14" s="164"/>
      <c r="F14" s="7" t="str">
        <f>'TANK HARDWARE'!M19</f>
        <v>M16x60-HDG-8.8</v>
      </c>
      <c r="G14" s="7">
        <f>'TANK HARDWARE'!N19</f>
        <v>8</v>
      </c>
      <c r="H14" s="7">
        <f>'TANK HARDWARE'!O19</f>
        <v>8</v>
      </c>
      <c r="I14" s="7">
        <f>'TANK HARDWARE'!Q19</f>
        <v>8</v>
      </c>
      <c r="J14" s="7">
        <f>'TANK HARDWARE'!R19</f>
        <v>16</v>
      </c>
      <c r="K14" s="7">
        <f>'TANK HARDWARE'!P19</f>
        <v>0</v>
      </c>
      <c r="L14" s="34" t="str">
        <f>'TANK HARDWARE'!D19</f>
        <v>SD-268</v>
      </c>
    </row>
    <row r="15" spans="2:14" x14ac:dyDescent="0.25">
      <c r="B15" s="3">
        <f t="shared" si="0"/>
        <v>1</v>
      </c>
      <c r="C15" s="3">
        <f t="shared" si="1"/>
        <v>6</v>
      </c>
      <c r="D15" s="177" t="str">
        <f>'TANK HARDWARE'!B20</f>
        <v>125NB GATE VALVE ASSEMBLY (NIFPS QUICK DRAIN)</v>
      </c>
      <c r="E15" s="164"/>
      <c r="F15" s="7" t="str">
        <f>'TANK HARDWARE'!M20</f>
        <v>M16x80-HDG-8.8</v>
      </c>
      <c r="G15" s="7">
        <f>'TANK HARDWARE'!N20</f>
        <v>16</v>
      </c>
      <c r="H15" s="7">
        <f>'TANK HARDWARE'!O20</f>
        <v>16</v>
      </c>
      <c r="I15" s="7">
        <f>'TANK HARDWARE'!Q20</f>
        <v>16</v>
      </c>
      <c r="J15" s="7">
        <f>'TANK HARDWARE'!R20</f>
        <v>32</v>
      </c>
      <c r="K15" s="7">
        <f>'TANK HARDWARE'!P20</f>
        <v>0</v>
      </c>
      <c r="L15" s="34" t="str">
        <f>'TANK HARDWARE'!D20</f>
        <v>SD-268</v>
      </c>
    </row>
    <row r="16" spans="2:14" x14ac:dyDescent="0.25">
      <c r="B16" s="3">
        <f t="shared" si="0"/>
        <v>1</v>
      </c>
      <c r="C16" s="3">
        <f t="shared" si="1"/>
        <v>7</v>
      </c>
      <c r="D16" s="177" t="str">
        <f>'TANK HARDWARE'!B21</f>
        <v>150NB GATE VALVE ASSEMBLY (COOLING/DRAIN)</v>
      </c>
      <c r="E16" s="164"/>
      <c r="F16" s="7" t="str">
        <f>'TANK HARDWARE'!M21</f>
        <v>M20x80-HDG-8.8</v>
      </c>
      <c r="G16" s="7">
        <f>'TANK HARDWARE'!N21</f>
        <v>16</v>
      </c>
      <c r="H16" s="7">
        <f>'TANK HARDWARE'!O21</f>
        <v>16</v>
      </c>
      <c r="I16" s="7">
        <f>'TANK HARDWARE'!Q21</f>
        <v>16</v>
      </c>
      <c r="J16" s="7">
        <f>'TANK HARDWARE'!R21</f>
        <v>32</v>
      </c>
      <c r="K16" s="7">
        <f>'TANK HARDWARE'!P21</f>
        <v>0</v>
      </c>
      <c r="L16" s="34" t="str">
        <f>'TANK HARDWARE'!D21</f>
        <v>SD-268</v>
      </c>
    </row>
    <row r="17" spans="2:14" x14ac:dyDescent="0.25">
      <c r="B17" s="3">
        <f t="shared" si="0"/>
        <v>1</v>
      </c>
      <c r="C17" s="3">
        <f t="shared" si="1"/>
        <v>8</v>
      </c>
      <c r="D17" s="177" t="str">
        <f>'TANK HARDWARE'!B22</f>
        <v>200NB GATE VALVE ASSEMBLY (COOLING/DRAIN)</v>
      </c>
      <c r="E17" s="164"/>
      <c r="F17" s="7" t="str">
        <f>'TANK HARDWARE'!M22</f>
        <v>M20x80-HDG-8.8</v>
      </c>
      <c r="G17" s="7">
        <f>'TANK HARDWARE'!N22</f>
        <v>16</v>
      </c>
      <c r="H17" s="7">
        <f>'TANK HARDWARE'!O22</f>
        <v>16</v>
      </c>
      <c r="I17" s="7">
        <f>'TANK HARDWARE'!Q22</f>
        <v>16</v>
      </c>
      <c r="J17" s="7">
        <f>'TANK HARDWARE'!R22</f>
        <v>32</v>
      </c>
      <c r="K17" s="7">
        <f>'TANK HARDWARE'!P22</f>
        <v>0</v>
      </c>
      <c r="L17" s="34" t="str">
        <f>'TANK HARDWARE'!D22</f>
        <v>SD-268</v>
      </c>
    </row>
    <row r="18" spans="2:14" x14ac:dyDescent="0.25">
      <c r="B18" s="3">
        <f t="shared" si="0"/>
        <v>1</v>
      </c>
      <c r="C18" s="3">
        <f t="shared" si="1"/>
        <v>9</v>
      </c>
      <c r="D18" s="177" t="str">
        <f>'TANK HARDWARE'!B23</f>
        <v>80NB BUTTERFLY VALVE ASSEMBLY (VACUUM BREAK)</v>
      </c>
      <c r="E18" s="164"/>
      <c r="F18" s="7" t="str">
        <f>'TANK HARDWARE'!M23</f>
        <v>M16-STUDx140-HDG-8.8</v>
      </c>
      <c r="G18" s="7">
        <f>'TANK HARDWARE'!N23</f>
        <v>4</v>
      </c>
      <c r="H18" s="7">
        <f>'TANK HARDWARE'!O23</f>
        <v>12</v>
      </c>
      <c r="I18" s="7">
        <f>'TANK HARDWARE'!Q23</f>
        <v>12</v>
      </c>
      <c r="J18" s="7">
        <f>'TANK HARDWARE'!R23</f>
        <v>8</v>
      </c>
      <c r="K18" s="7">
        <f>'TANK HARDWARE'!P23</f>
        <v>0</v>
      </c>
      <c r="L18" s="34" t="str">
        <f>'TANK HARDWARE'!D23</f>
        <v>SD-270</v>
      </c>
    </row>
    <row r="19" spans="2:14" x14ac:dyDescent="0.25">
      <c r="B19" s="3">
        <f t="shared" si="0"/>
        <v>1</v>
      </c>
      <c r="C19" s="3">
        <f t="shared" si="1"/>
        <v>10</v>
      </c>
      <c r="D19" s="177" t="str">
        <f>'TANK HARDWARE'!B24</f>
        <v>100NB BUTTERFLY VALVE ASSEMBLY</v>
      </c>
      <c r="E19" s="164"/>
      <c r="F19" s="7" t="str">
        <f>'TANK HARDWARE'!M24</f>
        <v>M16-STUDx140-HDG-8.8</v>
      </c>
      <c r="G19" s="7">
        <f>'TANK HARDWARE'!N24</f>
        <v>8</v>
      </c>
      <c r="H19" s="7">
        <f>'TANK HARDWARE'!O24</f>
        <v>24</v>
      </c>
      <c r="I19" s="7">
        <f>'TANK HARDWARE'!Q24</f>
        <v>24</v>
      </c>
      <c r="J19" s="7">
        <f>'TANK HARDWARE'!R24</f>
        <v>16</v>
      </c>
      <c r="K19" s="7">
        <f>'TANK HARDWARE'!P24</f>
        <v>0</v>
      </c>
      <c r="L19" s="34" t="str">
        <f>'TANK HARDWARE'!D24</f>
        <v>SD-270</v>
      </c>
    </row>
    <row r="20" spans="2:14" x14ac:dyDescent="0.25">
      <c r="B20" s="3">
        <f t="shared" si="0"/>
        <v>1</v>
      </c>
      <c r="C20" s="3">
        <f t="shared" si="1"/>
        <v>11</v>
      </c>
      <c r="D20" s="177" t="str">
        <f>'TANK HARDWARE'!B25</f>
        <v>125NB BUTTERFLY VALVE ASSEMBLY (NIFPS QUICK DRAIN)</v>
      </c>
      <c r="E20" s="164"/>
      <c r="F20" s="7" t="str">
        <f>'TANK HARDWARE'!M25</f>
        <v>M16-STUDx150-HDG-8.8</v>
      </c>
      <c r="G20" s="7">
        <f>'TANK HARDWARE'!N25</f>
        <v>8</v>
      </c>
      <c r="H20" s="7">
        <f>'TANK HARDWARE'!O25</f>
        <v>24</v>
      </c>
      <c r="I20" s="7">
        <f>'TANK HARDWARE'!Q25</f>
        <v>24</v>
      </c>
      <c r="J20" s="7">
        <f>'TANK HARDWARE'!R25</f>
        <v>16</v>
      </c>
      <c r="K20" s="7">
        <f>'TANK HARDWARE'!P25</f>
        <v>0</v>
      </c>
      <c r="L20" s="34" t="str">
        <f>'TANK HARDWARE'!D25</f>
        <v>SD-270</v>
      </c>
    </row>
    <row r="21" spans="2:14" x14ac:dyDescent="0.25">
      <c r="B21" s="3">
        <f t="shared" si="0"/>
        <v>1</v>
      </c>
      <c r="C21" s="3">
        <f t="shared" si="1"/>
        <v>12</v>
      </c>
      <c r="D21" s="177" t="str">
        <f>'TANK HARDWARE'!B26</f>
        <v>150NB BUTTERFLY VALVE ASSEMBLY</v>
      </c>
      <c r="E21" s="164"/>
      <c r="F21" s="7" t="str">
        <f>'TANK HARDWARE'!M26</f>
        <v>M20-STUDx160-HDG-8.8</v>
      </c>
      <c r="G21" s="7">
        <f>'TANK HARDWARE'!N26</f>
        <v>8</v>
      </c>
      <c r="H21" s="7">
        <f>'TANK HARDWARE'!O26</f>
        <v>24</v>
      </c>
      <c r="I21" s="7">
        <f>'TANK HARDWARE'!Q26</f>
        <v>24</v>
      </c>
      <c r="J21" s="7">
        <f>'TANK HARDWARE'!R26</f>
        <v>16</v>
      </c>
      <c r="K21" s="7">
        <f>'TANK HARDWARE'!P26</f>
        <v>0</v>
      </c>
      <c r="L21" s="34" t="str">
        <f>'TANK HARDWARE'!D26</f>
        <v>SD-270</v>
      </c>
    </row>
    <row r="22" spans="2:14" x14ac:dyDescent="0.25">
      <c r="B22" s="3">
        <f t="shared" si="0"/>
        <v>1</v>
      </c>
      <c r="C22" s="3">
        <f t="shared" si="1"/>
        <v>13</v>
      </c>
      <c r="D22" s="177" t="str">
        <f>'TANK HARDWARE'!B27</f>
        <v>200NB BUTTERFLY VALVE ASSEMBLY</v>
      </c>
      <c r="E22" s="164"/>
      <c r="F22" s="7" t="str">
        <f>'TANK HARDWARE'!M27</f>
        <v>M20-STUDx160-HDG-8.8</v>
      </c>
      <c r="G22" s="7">
        <f>'TANK HARDWARE'!N27</f>
        <v>8</v>
      </c>
      <c r="H22" s="7">
        <f>'TANK HARDWARE'!O27</f>
        <v>24</v>
      </c>
      <c r="I22" s="7">
        <f>'TANK HARDWARE'!Q27</f>
        <v>24</v>
      </c>
      <c r="J22" s="7">
        <f>'TANK HARDWARE'!R27</f>
        <v>16</v>
      </c>
      <c r="K22" s="7">
        <f>'TANK HARDWARE'!P27</f>
        <v>0</v>
      </c>
      <c r="L22" s="34" t="str">
        <f>'TANK HARDWARE'!D27</f>
        <v>SD-270</v>
      </c>
    </row>
    <row r="23" spans="2:14" x14ac:dyDescent="0.25">
      <c r="B23" s="3">
        <f t="shared" si="0"/>
        <v>1</v>
      </c>
      <c r="C23" s="3">
        <f t="shared" si="1"/>
        <v>14</v>
      </c>
      <c r="D23" s="177" t="str">
        <f>'TANK HARDWARE'!B28</f>
        <v>NO OF 15NB FLANGE JOINTS</v>
      </c>
      <c r="E23" s="164"/>
      <c r="F23" s="7" t="str">
        <f>'TANK HARDWARE'!M28</f>
        <v>M12x50-HDG-8.8</v>
      </c>
      <c r="G23" s="7">
        <f>'TANK HARDWARE'!N28</f>
        <v>4</v>
      </c>
      <c r="H23" s="7">
        <f>'TANK HARDWARE'!O28</f>
        <v>4</v>
      </c>
      <c r="I23" s="7">
        <f>'TANK HARDWARE'!Q28</f>
        <v>4</v>
      </c>
      <c r="J23" s="7">
        <f>'TANK HARDWARE'!R28</f>
        <v>8</v>
      </c>
      <c r="K23" s="7">
        <f>'TANK HARDWARE'!P28</f>
        <v>0</v>
      </c>
      <c r="L23" s="34" t="str">
        <f>'TANK HARDWARE'!D28</f>
        <v>SD-268</v>
      </c>
    </row>
    <row r="24" spans="2:14" x14ac:dyDescent="0.25">
      <c r="B24" s="3">
        <f t="shared" si="0"/>
        <v>1</v>
      </c>
      <c r="C24" s="3">
        <f t="shared" si="1"/>
        <v>15</v>
      </c>
      <c r="D24" s="177" t="str">
        <f>'TANK HARDWARE'!B29</f>
        <v>NO OF 50NB FLANGE JOINTS</v>
      </c>
      <c r="E24" s="164"/>
      <c r="F24" s="7" t="str">
        <f>'TANK HARDWARE'!M29</f>
        <v>M16x60-HDG-8.8</v>
      </c>
      <c r="G24" s="7">
        <f>'TANK HARDWARE'!N29</f>
        <v>4</v>
      </c>
      <c r="H24" s="7">
        <f>'TANK HARDWARE'!O29</f>
        <v>4</v>
      </c>
      <c r="I24" s="7">
        <f>'TANK HARDWARE'!Q29</f>
        <v>4</v>
      </c>
      <c r="J24" s="7">
        <f>'TANK HARDWARE'!R29</f>
        <v>8</v>
      </c>
      <c r="K24" s="7">
        <f>'TANK HARDWARE'!P29</f>
        <v>0</v>
      </c>
      <c r="L24" s="34" t="str">
        <f>'TANK HARDWARE'!D29</f>
        <v>SD-268</v>
      </c>
    </row>
    <row r="25" spans="2:14" x14ac:dyDescent="0.25">
      <c r="B25" s="3">
        <f t="shared" si="0"/>
        <v>1</v>
      </c>
      <c r="C25" s="3">
        <f t="shared" si="1"/>
        <v>16</v>
      </c>
      <c r="D25" s="177" t="str">
        <f>'TANK HARDWARE'!B30</f>
        <v>NO OF 80NB FLANGE JOINTS (RADIATOR FLANGE)</v>
      </c>
      <c r="E25" s="164"/>
      <c r="F25" s="7" t="str">
        <f>'TANK HARDWARE'!M30</f>
        <v>M16x70-HDG-8.8</v>
      </c>
      <c r="G25" s="7">
        <f>'TANK HARDWARE'!N30</f>
        <v>4</v>
      </c>
      <c r="H25" s="7">
        <f>'TANK HARDWARE'!O30</f>
        <v>4</v>
      </c>
      <c r="I25" s="7">
        <f>'TANK HARDWARE'!Q30</f>
        <v>4</v>
      </c>
      <c r="J25" s="7">
        <f>'TANK HARDWARE'!R30</f>
        <v>8</v>
      </c>
      <c r="K25" s="7">
        <f>'TANK HARDWARE'!P30</f>
        <v>0</v>
      </c>
      <c r="L25" s="34" t="str">
        <f>'TANK HARDWARE'!D30</f>
        <v>SD-268</v>
      </c>
    </row>
    <row r="26" spans="2:14" x14ac:dyDescent="0.25">
      <c r="B26" s="3">
        <f t="shared" si="0"/>
        <v>1</v>
      </c>
      <c r="C26" s="3">
        <f t="shared" si="1"/>
        <v>17</v>
      </c>
      <c r="D26" s="177" t="str">
        <f>'TANK HARDWARE'!B31</f>
        <v>NO OF 125NB FLANGE JOINTS</v>
      </c>
      <c r="E26" s="164"/>
      <c r="F26" s="7" t="str">
        <f>'TANK HARDWARE'!M31</f>
        <v>M16x70-HDG-8.8</v>
      </c>
      <c r="G26" s="7">
        <f>'TANK HARDWARE'!N31</f>
        <v>8</v>
      </c>
      <c r="H26" s="7">
        <f>'TANK HARDWARE'!O31</f>
        <v>8</v>
      </c>
      <c r="I26" s="7">
        <f>'TANK HARDWARE'!Q31</f>
        <v>8</v>
      </c>
      <c r="J26" s="7">
        <f>'TANK HARDWARE'!R31</f>
        <v>16</v>
      </c>
      <c r="K26" s="7">
        <f>'TANK HARDWARE'!P31</f>
        <v>0</v>
      </c>
      <c r="L26" s="34" t="str">
        <f>'TANK HARDWARE'!D31</f>
        <v>SD-268</v>
      </c>
    </row>
    <row r="27" spans="2:14" ht="15" customHeight="1" x14ac:dyDescent="0.25">
      <c r="B27" s="3">
        <f t="shared" si="0"/>
        <v>1</v>
      </c>
      <c r="C27" s="3">
        <f t="shared" si="1"/>
        <v>18</v>
      </c>
      <c r="D27" s="177" t="str">
        <f>'TANK HARDWARE'!B32</f>
        <v>NO OF 150NB FLANGE JOINTS</v>
      </c>
      <c r="E27" s="164"/>
      <c r="F27" s="7" t="str">
        <f>'TANK HARDWARE'!M32</f>
        <v>M20x80-HDG-8.8</v>
      </c>
      <c r="G27" s="7">
        <f>'TANK HARDWARE'!N32</f>
        <v>8</v>
      </c>
      <c r="H27" s="7">
        <f>'TANK HARDWARE'!O32</f>
        <v>8</v>
      </c>
      <c r="I27" s="7">
        <f>'TANK HARDWARE'!Q32</f>
        <v>8</v>
      </c>
      <c r="J27" s="7">
        <f>'TANK HARDWARE'!R32</f>
        <v>16</v>
      </c>
      <c r="K27" s="7">
        <f>'TANK HARDWARE'!P32</f>
        <v>0</v>
      </c>
      <c r="L27" s="34" t="str">
        <f>'TANK HARDWARE'!D32</f>
        <v>SD-268</v>
      </c>
    </row>
    <row r="28" spans="2:14" ht="18.75" customHeight="1" x14ac:dyDescent="0.25">
      <c r="B28" s="3">
        <f t="shared" si="0"/>
        <v>1</v>
      </c>
      <c r="C28" s="3">
        <f t="shared" si="1"/>
        <v>19</v>
      </c>
      <c r="D28" s="177" t="str">
        <f>'TANK HARDWARE'!B33</f>
        <v>NO OF 200NB FLANGE JOINTS</v>
      </c>
      <c r="E28" s="164"/>
      <c r="F28" s="7" t="str">
        <f>'TANK HARDWARE'!M33</f>
        <v>M20x80-HDG-8.8</v>
      </c>
      <c r="G28" s="7">
        <f>'TANK HARDWARE'!N33</f>
        <v>8</v>
      </c>
      <c r="H28" s="7">
        <f>'TANK HARDWARE'!O33</f>
        <v>8</v>
      </c>
      <c r="I28" s="7">
        <f>'TANK HARDWARE'!Q33</f>
        <v>8</v>
      </c>
      <c r="J28" s="7">
        <f>'TANK HARDWARE'!R33</f>
        <v>16</v>
      </c>
      <c r="K28" s="7">
        <f>'TANK HARDWARE'!P33</f>
        <v>0</v>
      </c>
      <c r="L28" s="34" t="str">
        <f>'TANK HARDWARE'!D33</f>
        <v>SD-268</v>
      </c>
    </row>
    <row r="29" spans="2:14" ht="15" customHeight="1" x14ac:dyDescent="0.25">
      <c r="B29" s="3">
        <f t="shared" si="0"/>
        <v>1</v>
      </c>
      <c r="C29" s="3">
        <f t="shared" si="1"/>
        <v>20</v>
      </c>
      <c r="D29" s="177" t="str">
        <f>'TANK HARDWARE'!B34</f>
        <v>NO OF 250NB FLANGE JOINTS</v>
      </c>
      <c r="E29" s="164"/>
      <c r="F29" s="7" t="str">
        <f>'TANK HARDWARE'!M34</f>
        <v>M20x90-HDG-8.8</v>
      </c>
      <c r="G29" s="7">
        <f>'TANK HARDWARE'!N34</f>
        <v>8</v>
      </c>
      <c r="H29" s="7">
        <f>'TANK HARDWARE'!O34</f>
        <v>8</v>
      </c>
      <c r="I29" s="7">
        <f>'TANK HARDWARE'!Q34</f>
        <v>8</v>
      </c>
      <c r="J29" s="7">
        <f>'TANK HARDWARE'!R34</f>
        <v>16</v>
      </c>
      <c r="K29" s="7">
        <f>'TANK HARDWARE'!P34</f>
        <v>0</v>
      </c>
      <c r="L29" s="34" t="str">
        <f>'TANK HARDWARE'!D34</f>
        <v>SD-268</v>
      </c>
    </row>
    <row r="30" spans="2:14" x14ac:dyDescent="0.25">
      <c r="B30" s="3">
        <f t="shared" si="0"/>
        <v>0</v>
      </c>
      <c r="D30" s="201"/>
      <c r="E30" s="164"/>
      <c r="F30" s="7"/>
      <c r="G30" s="113"/>
      <c r="H30" s="113"/>
      <c r="I30" s="113"/>
      <c r="J30" s="7"/>
      <c r="K30" s="7"/>
      <c r="L30" s="34"/>
    </row>
    <row r="31" spans="2:14" x14ac:dyDescent="0.25">
      <c r="B31" s="3">
        <f t="shared" si="0"/>
        <v>0</v>
      </c>
      <c r="C31" s="3">
        <f t="shared" ref="C31:C73" si="2">B31+C30</f>
        <v>0</v>
      </c>
      <c r="D31" s="203" t="str">
        <f>'TANK HARDWARE'!B36</f>
        <v>TANK (T-01 / T-44 / T-48/ T-06)</v>
      </c>
      <c r="E31" s="162"/>
      <c r="F31" s="203"/>
      <c r="G31" s="186"/>
      <c r="H31" s="186"/>
      <c r="I31" s="186"/>
      <c r="J31" s="186"/>
      <c r="K31" s="186"/>
      <c r="L31" s="204"/>
      <c r="M31" s="181"/>
      <c r="N31" s="162"/>
    </row>
    <row r="32" spans="2:14" x14ac:dyDescent="0.25">
      <c r="B32" s="3">
        <f t="shared" si="0"/>
        <v>1</v>
      </c>
      <c r="C32" s="3">
        <f t="shared" si="2"/>
        <v>1</v>
      </c>
      <c r="D32" s="201" t="str">
        <f>'TANK HARDWARE'!B37</f>
        <v>CURB BOLT ASM</v>
      </c>
      <c r="E32" s="164"/>
      <c r="F32" s="7" t="str">
        <f>'TANK HARDWARE'!M37</f>
        <v>M24x100-HDG-8.8</v>
      </c>
      <c r="G32" s="113">
        <f>'TANK HARDWARE'!N37</f>
        <v>125</v>
      </c>
      <c r="H32" s="113">
        <f>'TANK HARDWARE'!O37</f>
        <v>125</v>
      </c>
      <c r="I32" s="113">
        <f>'TANK HARDWARE'!Q37</f>
        <v>250</v>
      </c>
      <c r="J32" s="7">
        <f>'TANK HARDWARE'!R37</f>
        <v>0</v>
      </c>
      <c r="K32" s="7">
        <f>'TANK HARDWARE'!P37</f>
        <v>0</v>
      </c>
      <c r="L32" s="34" t="str">
        <f>'TANK HARDWARE'!D37</f>
        <v>SD-267</v>
      </c>
    </row>
    <row r="33" spans="2:12" x14ac:dyDescent="0.25">
      <c r="B33" s="3">
        <f t="shared" si="0"/>
        <v>1</v>
      </c>
      <c r="C33" s="3">
        <f t="shared" si="2"/>
        <v>2</v>
      </c>
      <c r="D33" s="201" t="str">
        <f>'TANK HARDWARE'!B38</f>
        <v>ROLLER MOUNTING PAD</v>
      </c>
      <c r="E33" s="164"/>
      <c r="F33" s="7" t="str">
        <f>'TANK HARDWARE'!M38</f>
        <v>M20x90-HDG-8.8</v>
      </c>
      <c r="G33" s="113">
        <f>'TANK HARDWARE'!N38</f>
        <v>16</v>
      </c>
      <c r="H33" s="113">
        <f>'TANK HARDWARE'!O38</f>
        <v>16</v>
      </c>
      <c r="I33" s="113">
        <f>'TANK HARDWARE'!Q38</f>
        <v>32</v>
      </c>
      <c r="J33" s="7">
        <f>'TANK HARDWARE'!R38</f>
        <v>0</v>
      </c>
      <c r="K33" s="7">
        <f>'TANK HARDWARE'!P38</f>
        <v>16</v>
      </c>
      <c r="L33" s="34" t="str">
        <f>'TANK HARDWARE'!D38</f>
        <v>SD-269</v>
      </c>
    </row>
    <row r="34" spans="2:12" x14ac:dyDescent="0.25">
      <c r="B34" s="3">
        <f t="shared" si="0"/>
        <v>1</v>
      </c>
      <c r="C34" s="3">
        <f t="shared" si="2"/>
        <v>3</v>
      </c>
      <c r="D34" s="177" t="str">
        <f>'TANK HARDWARE'!B39</f>
        <v xml:space="preserve">HVN TURRET ASSEMBLY - WELDED </v>
      </c>
      <c r="E34" s="169"/>
      <c r="F34" s="7" t="str">
        <f>'TANK HARDWARE'!M39</f>
        <v>M12x60-HDG-8.8</v>
      </c>
      <c r="G34" s="113">
        <f>'TANK HARDWARE'!N39</f>
        <v>24</v>
      </c>
      <c r="H34" s="113">
        <f>'TANK HARDWARE'!O39</f>
        <v>24</v>
      </c>
      <c r="I34" s="113">
        <f>'TANK HARDWARE'!Q39</f>
        <v>48</v>
      </c>
      <c r="J34" s="7">
        <f>'TANK HARDWARE'!R39</f>
        <v>0</v>
      </c>
      <c r="K34" s="7">
        <f>'TANK HARDWARE'!P39</f>
        <v>0</v>
      </c>
      <c r="L34" s="34" t="str">
        <f>'TANK HARDWARE'!D39</f>
        <v>SD-268</v>
      </c>
    </row>
    <row r="35" spans="2:12" x14ac:dyDescent="0.25">
      <c r="B35" s="3">
        <f t="shared" si="0"/>
        <v>1</v>
      </c>
      <c r="C35" s="3">
        <f t="shared" si="2"/>
        <v>4</v>
      </c>
      <c r="D35" s="170"/>
      <c r="E35" s="162"/>
      <c r="F35" s="7" t="str">
        <f>'TANK HARDWARE'!M40</f>
        <v>M12x50-HDG-8.8</v>
      </c>
      <c r="G35" s="113">
        <f>'TANK HARDWARE'!N40</f>
        <v>22</v>
      </c>
      <c r="H35" s="113">
        <f>'TANK HARDWARE'!O40</f>
        <v>22</v>
      </c>
      <c r="I35" s="113">
        <f>'TANK HARDWARE'!Q40</f>
        <v>44</v>
      </c>
      <c r="J35" s="7">
        <f>'TANK HARDWARE'!R40</f>
        <v>0</v>
      </c>
      <c r="K35" s="7">
        <f>'TANK HARDWARE'!P40</f>
        <v>0</v>
      </c>
      <c r="L35" s="34" t="str">
        <f>'TANK HARDWARE'!D40</f>
        <v>SD-268</v>
      </c>
    </row>
    <row r="36" spans="2:12" x14ac:dyDescent="0.25">
      <c r="B36" s="3">
        <f t="shared" si="0"/>
        <v>1</v>
      </c>
      <c r="C36" s="3">
        <f t="shared" si="2"/>
        <v>5</v>
      </c>
      <c r="D36" s="170"/>
      <c r="E36" s="162"/>
      <c r="F36" s="7" t="str">
        <f>'TANK HARDWARE'!M41</f>
        <v>M12-STUDx85-HDG-8.8</v>
      </c>
      <c r="G36" s="113">
        <f>'TANK HARDWARE'!N41</f>
        <v>6</v>
      </c>
      <c r="H36" s="113">
        <f>'TANK HARDWARE'!O41</f>
        <v>6</v>
      </c>
      <c r="I36" s="113">
        <f>'TANK HARDWARE'!Q41</f>
        <v>6</v>
      </c>
      <c r="J36" s="7">
        <f>'TANK HARDWARE'!R41</f>
        <v>0</v>
      </c>
      <c r="K36" s="7">
        <f>'TANK HARDWARE'!P41</f>
        <v>0</v>
      </c>
      <c r="L36" s="34" t="str">
        <f>'TANK HARDWARE'!D41</f>
        <v>SD-272</v>
      </c>
    </row>
    <row r="37" spans="2:12" x14ac:dyDescent="0.25">
      <c r="B37" s="3">
        <f t="shared" si="0"/>
        <v>1</v>
      </c>
      <c r="C37" s="3">
        <f t="shared" si="2"/>
        <v>6</v>
      </c>
      <c r="D37" s="171"/>
      <c r="E37" s="168"/>
      <c r="F37" s="7" t="str">
        <f>'TANK HARDWARE'!M42</f>
        <v>M16x60-HDG-8.8</v>
      </c>
      <c r="G37" s="113">
        <f>'TANK HARDWARE'!N42</f>
        <v>4</v>
      </c>
      <c r="H37" s="113">
        <f>'TANK HARDWARE'!O42</f>
        <v>4</v>
      </c>
      <c r="I37" s="113">
        <f>'TANK HARDWARE'!Q42</f>
        <v>8</v>
      </c>
      <c r="J37" s="7">
        <f>'TANK HARDWARE'!R42</f>
        <v>0</v>
      </c>
      <c r="K37" s="7">
        <f>'TANK HARDWARE'!P42</f>
        <v>0</v>
      </c>
      <c r="L37" s="34" t="str">
        <f>'TANK HARDWARE'!D42</f>
        <v>SD-268</v>
      </c>
    </row>
    <row r="38" spans="2:12" x14ac:dyDescent="0.25">
      <c r="B38" s="3">
        <f t="shared" si="0"/>
        <v>1</v>
      </c>
      <c r="C38" s="3">
        <f t="shared" si="2"/>
        <v>7</v>
      </c>
      <c r="D38" s="177" t="str">
        <f>'TANK HARDWARE'!B43</f>
        <v>HVN TURRET ASSEMBLY - SPLIT (PSD-650)</v>
      </c>
      <c r="E38" s="169"/>
      <c r="F38" s="7" t="str">
        <f>'TANK HARDWARE'!M43</f>
        <v>M16x70-HDG-8.8</v>
      </c>
      <c r="G38" s="113">
        <f>'TANK HARDWARE'!N43</f>
        <v>32</v>
      </c>
      <c r="H38" s="113">
        <f>'TANK HARDWARE'!O43</f>
        <v>32</v>
      </c>
      <c r="I38" s="113">
        <f>'TANK HARDWARE'!Q43</f>
        <v>64</v>
      </c>
      <c r="J38" s="7">
        <f>'TANK HARDWARE'!R43</f>
        <v>0</v>
      </c>
      <c r="K38" s="7">
        <f>'TANK HARDWARE'!P43</f>
        <v>0</v>
      </c>
      <c r="L38" s="34" t="str">
        <f>'TANK HARDWARE'!D43</f>
        <v>SD-268</v>
      </c>
    </row>
    <row r="39" spans="2:12" x14ac:dyDescent="0.25">
      <c r="B39" s="3">
        <f t="shared" si="0"/>
        <v>1</v>
      </c>
      <c r="C39" s="3">
        <f t="shared" si="2"/>
        <v>8</v>
      </c>
      <c r="D39" s="170"/>
      <c r="E39" s="162"/>
      <c r="F39" s="7" t="str">
        <f>'TANK HARDWARE'!M44</f>
        <v>M12x60-HDG-8.8</v>
      </c>
      <c r="G39" s="113">
        <f>'TANK HARDWARE'!N44</f>
        <v>24</v>
      </c>
      <c r="H39" s="113">
        <f>'TANK HARDWARE'!O44</f>
        <v>24</v>
      </c>
      <c r="I39" s="113">
        <f>'TANK HARDWARE'!Q44</f>
        <v>48</v>
      </c>
      <c r="J39" s="7">
        <f>'TANK HARDWARE'!R44</f>
        <v>0</v>
      </c>
      <c r="K39" s="7">
        <f>'TANK HARDWARE'!P44</f>
        <v>0</v>
      </c>
      <c r="L39" s="34" t="str">
        <f>'TANK HARDWARE'!D44</f>
        <v>SD-268</v>
      </c>
    </row>
    <row r="40" spans="2:12" x14ac:dyDescent="0.25">
      <c r="B40" s="3">
        <f t="shared" si="0"/>
        <v>1</v>
      </c>
      <c r="C40" s="3">
        <f t="shared" si="2"/>
        <v>9</v>
      </c>
      <c r="D40" s="170"/>
      <c r="E40" s="162"/>
      <c r="F40" s="7" t="str">
        <f>'TANK HARDWARE'!M45</f>
        <v>M16-STUDx75-HDG-8.8</v>
      </c>
      <c r="G40" s="113">
        <f>'TANK HARDWARE'!N45</f>
        <v>12</v>
      </c>
      <c r="H40" s="113">
        <f>'TANK HARDWARE'!O45</f>
        <v>12</v>
      </c>
      <c r="I40" s="113">
        <f>'TANK HARDWARE'!Q45</f>
        <v>12</v>
      </c>
      <c r="J40" s="7">
        <f>'TANK HARDWARE'!R45</f>
        <v>0</v>
      </c>
      <c r="K40" s="7">
        <f>'TANK HARDWARE'!P45</f>
        <v>0</v>
      </c>
      <c r="L40" s="34" t="str">
        <f>'TANK HARDWARE'!D45</f>
        <v>SD-272</v>
      </c>
    </row>
    <row r="41" spans="2:12" x14ac:dyDescent="0.25">
      <c r="B41" s="3">
        <f t="shared" si="0"/>
        <v>1</v>
      </c>
      <c r="C41" s="3">
        <f t="shared" si="2"/>
        <v>10</v>
      </c>
      <c r="D41" s="170"/>
      <c r="E41" s="162"/>
      <c r="F41" s="7" t="str">
        <f>'TANK HARDWARE'!M46</f>
        <v>M16x75-HDG-8.8</v>
      </c>
      <c r="G41" s="113">
        <f>'TANK HARDWARE'!N46</f>
        <v>32</v>
      </c>
      <c r="H41" s="113">
        <f>'TANK HARDWARE'!O46</f>
        <v>32</v>
      </c>
      <c r="I41" s="113">
        <f>'TANK HARDWARE'!Q46</f>
        <v>64</v>
      </c>
      <c r="J41" s="7">
        <f>'TANK HARDWARE'!R46</f>
        <v>0</v>
      </c>
      <c r="K41" s="7">
        <f>'TANK HARDWARE'!P46</f>
        <v>0</v>
      </c>
      <c r="L41" s="34" t="str">
        <f>'TANK HARDWARE'!D46</f>
        <v>SD-268</v>
      </c>
    </row>
    <row r="42" spans="2:12" x14ac:dyDescent="0.25">
      <c r="B42" s="3">
        <f t="shared" ref="B42:B73" si="3">IF(H42=0,0,1)</f>
        <v>1</v>
      </c>
      <c r="C42" s="3">
        <f t="shared" si="2"/>
        <v>11</v>
      </c>
      <c r="D42" s="171"/>
      <c r="E42" s="168"/>
      <c r="F42" s="7" t="str">
        <f>'TANK HARDWARE'!M47</f>
        <v>M16x60-HDG-8.8</v>
      </c>
      <c r="G42" s="113">
        <f>'TANK HARDWARE'!N47</f>
        <v>4</v>
      </c>
      <c r="H42" s="113">
        <f>'TANK HARDWARE'!O47</f>
        <v>4</v>
      </c>
      <c r="I42" s="113">
        <f>'TANK HARDWARE'!Q47</f>
        <v>8</v>
      </c>
      <c r="J42" s="7">
        <f>'TANK HARDWARE'!R47</f>
        <v>0</v>
      </c>
      <c r="K42" s="7">
        <f>'TANK HARDWARE'!P47</f>
        <v>0</v>
      </c>
      <c r="L42" s="34" t="str">
        <f>'TANK HARDWARE'!D47</f>
        <v>SD-268</v>
      </c>
    </row>
    <row r="43" spans="2:12" x14ac:dyDescent="0.25">
      <c r="B43" s="3">
        <f t="shared" si="3"/>
        <v>1</v>
      </c>
      <c r="C43" s="3">
        <f t="shared" si="2"/>
        <v>12</v>
      </c>
      <c r="D43" s="177" t="str">
        <f>'TANK HARDWARE'!B48</f>
        <v>LVN TURRET ASSEMBLY - WELDED (PSD-649)</v>
      </c>
      <c r="E43" s="169"/>
      <c r="F43" s="7" t="str">
        <f>'TANK HARDWARE'!M48</f>
        <v>M12x60-HDG-8.8</v>
      </c>
      <c r="G43" s="113">
        <f>'TANK HARDWARE'!N48</f>
        <v>24</v>
      </c>
      <c r="H43" s="113">
        <f>'TANK HARDWARE'!O48</f>
        <v>24</v>
      </c>
      <c r="I43" s="113">
        <f>'TANK HARDWARE'!Q48</f>
        <v>48</v>
      </c>
      <c r="J43" s="7">
        <f>'TANK HARDWARE'!R48</f>
        <v>0</v>
      </c>
      <c r="K43" s="7">
        <f>'TANK HARDWARE'!P48</f>
        <v>0</v>
      </c>
      <c r="L43" s="34" t="str">
        <f>'TANK HARDWARE'!D48</f>
        <v>SD-268</v>
      </c>
    </row>
    <row r="44" spans="2:12" ht="13.5" customHeight="1" x14ac:dyDescent="0.25">
      <c r="B44" s="3">
        <f t="shared" si="3"/>
        <v>1</v>
      </c>
      <c r="C44" s="3">
        <f t="shared" si="2"/>
        <v>13</v>
      </c>
      <c r="D44" s="170"/>
      <c r="E44" s="162"/>
      <c r="F44" s="7" t="str">
        <f>'TANK HARDWARE'!M49</f>
        <v>M12x60-HDG-8.8</v>
      </c>
      <c r="G44" s="113">
        <f>'TANK HARDWARE'!N49</f>
        <v>24</v>
      </c>
      <c r="H44" s="113">
        <f>'TANK HARDWARE'!O49</f>
        <v>24</v>
      </c>
      <c r="I44" s="113">
        <f>'TANK HARDWARE'!Q49</f>
        <v>48</v>
      </c>
      <c r="J44" s="7">
        <f>'TANK HARDWARE'!R49</f>
        <v>0</v>
      </c>
      <c r="K44" s="7">
        <f>'TANK HARDWARE'!P49</f>
        <v>0</v>
      </c>
      <c r="L44" s="34" t="str">
        <f>'TANK HARDWARE'!D49</f>
        <v>SD-268</v>
      </c>
    </row>
    <row r="45" spans="2:12" x14ac:dyDescent="0.25">
      <c r="B45" s="3">
        <f t="shared" si="3"/>
        <v>1</v>
      </c>
      <c r="C45" s="3">
        <f t="shared" si="2"/>
        <v>14</v>
      </c>
      <c r="D45" s="170"/>
      <c r="E45" s="162"/>
      <c r="F45" s="7" t="str">
        <f>'TANK HARDWARE'!M50</f>
        <v>M10-STUDx75-HDG-8.8</v>
      </c>
      <c r="G45" s="113">
        <f>'TANK HARDWARE'!N50</f>
        <v>4</v>
      </c>
      <c r="H45" s="113">
        <f>'TANK HARDWARE'!O50</f>
        <v>4</v>
      </c>
      <c r="I45" s="113">
        <f>'TANK HARDWARE'!Q50</f>
        <v>4</v>
      </c>
      <c r="J45" s="7">
        <f>'TANK HARDWARE'!R50</f>
        <v>0</v>
      </c>
      <c r="K45" s="7">
        <f>'TANK HARDWARE'!P50</f>
        <v>0</v>
      </c>
      <c r="L45" s="34" t="str">
        <f>'TANK HARDWARE'!D50</f>
        <v>SD-272</v>
      </c>
    </row>
    <row r="46" spans="2:12" x14ac:dyDescent="0.25">
      <c r="B46" s="3">
        <f t="shared" si="3"/>
        <v>1</v>
      </c>
      <c r="C46" s="3">
        <f t="shared" si="2"/>
        <v>15</v>
      </c>
      <c r="D46" s="171"/>
      <c r="E46" s="168"/>
      <c r="F46" s="7" t="str">
        <f>'TANK HARDWARE'!M51</f>
        <v>M16x60-HDG-8.8</v>
      </c>
      <c r="G46" s="113">
        <f>'TANK HARDWARE'!N51</f>
        <v>4</v>
      </c>
      <c r="H46" s="113">
        <f>'TANK HARDWARE'!O51</f>
        <v>4</v>
      </c>
      <c r="I46" s="113">
        <f>'TANK HARDWARE'!Q51</f>
        <v>8</v>
      </c>
      <c r="J46" s="7">
        <f>'TANK HARDWARE'!R51</f>
        <v>0</v>
      </c>
      <c r="K46" s="7">
        <f>'TANK HARDWARE'!P51</f>
        <v>0</v>
      </c>
      <c r="L46" s="34" t="str">
        <f>'TANK HARDWARE'!D51</f>
        <v>SD-268</v>
      </c>
    </row>
    <row r="47" spans="2:12" x14ac:dyDescent="0.25">
      <c r="B47" s="3">
        <f t="shared" si="3"/>
        <v>1</v>
      </c>
      <c r="C47" s="3">
        <f t="shared" si="2"/>
        <v>16</v>
      </c>
      <c r="D47" s="177" t="str">
        <f>'TANK HARDWARE'!B52</f>
        <v>LVN TURRET ASSEMBLY - SPLIT (PSD-650)</v>
      </c>
      <c r="E47" s="169"/>
      <c r="F47" s="7" t="str">
        <f>'TANK HARDWARE'!M52</f>
        <v>M12x60-HDG-8.8</v>
      </c>
      <c r="G47" s="113">
        <f>'TANK HARDWARE'!N52</f>
        <v>24</v>
      </c>
      <c r="H47" s="113">
        <f>'TANK HARDWARE'!O52</f>
        <v>24</v>
      </c>
      <c r="I47" s="113">
        <f>'TANK HARDWARE'!Q52</f>
        <v>48</v>
      </c>
      <c r="J47" s="7">
        <f>'TANK HARDWARE'!R52</f>
        <v>0</v>
      </c>
      <c r="K47" s="7">
        <f>'TANK HARDWARE'!P52</f>
        <v>0</v>
      </c>
      <c r="L47" s="34" t="str">
        <f>'TANK HARDWARE'!D52</f>
        <v>SD-268</v>
      </c>
    </row>
    <row r="48" spans="2:12" x14ac:dyDescent="0.25">
      <c r="B48" s="3">
        <f t="shared" si="3"/>
        <v>1</v>
      </c>
      <c r="C48" s="3">
        <f t="shared" si="2"/>
        <v>17</v>
      </c>
      <c r="D48" s="170"/>
      <c r="E48" s="162"/>
      <c r="F48" s="7" t="str">
        <f>'TANK HARDWARE'!M53</f>
        <v>M12x60-HDG-8.8</v>
      </c>
      <c r="G48" s="113">
        <f>'TANK HARDWARE'!N53</f>
        <v>24</v>
      </c>
      <c r="H48" s="113">
        <f>'TANK HARDWARE'!O53</f>
        <v>24</v>
      </c>
      <c r="I48" s="113">
        <f>'TANK HARDWARE'!Q53</f>
        <v>48</v>
      </c>
      <c r="J48" s="7">
        <f>'TANK HARDWARE'!R53</f>
        <v>0</v>
      </c>
      <c r="K48" s="7">
        <f>'TANK HARDWARE'!P53</f>
        <v>0</v>
      </c>
      <c r="L48" s="34" t="str">
        <f>'TANK HARDWARE'!D53</f>
        <v>SD-268</v>
      </c>
    </row>
    <row r="49" spans="2:12" x14ac:dyDescent="0.25">
      <c r="B49" s="3">
        <f t="shared" si="3"/>
        <v>1</v>
      </c>
      <c r="C49" s="3">
        <f t="shared" si="2"/>
        <v>18</v>
      </c>
      <c r="D49" s="170"/>
      <c r="E49" s="162"/>
      <c r="F49" s="7" t="str">
        <f>'TANK HARDWARE'!M54</f>
        <v>M10-STUDx75-HDG-8.8</v>
      </c>
      <c r="G49" s="113">
        <f>'TANK HARDWARE'!N54</f>
        <v>4</v>
      </c>
      <c r="H49" s="113">
        <f>'TANK HARDWARE'!O54</f>
        <v>4</v>
      </c>
      <c r="I49" s="113">
        <f>'TANK HARDWARE'!Q54</f>
        <v>4</v>
      </c>
      <c r="J49" s="7">
        <f>'TANK HARDWARE'!R54</f>
        <v>0</v>
      </c>
      <c r="K49" s="7">
        <f>'TANK HARDWARE'!P54</f>
        <v>0</v>
      </c>
      <c r="L49" s="34" t="str">
        <f>'TANK HARDWARE'!D54</f>
        <v>SD-272</v>
      </c>
    </row>
    <row r="50" spans="2:12" x14ac:dyDescent="0.25">
      <c r="B50" s="3">
        <f t="shared" si="3"/>
        <v>1</v>
      </c>
      <c r="C50" s="3">
        <f t="shared" si="2"/>
        <v>19</v>
      </c>
      <c r="D50" s="170"/>
      <c r="E50" s="162"/>
      <c r="F50" s="7" t="str">
        <f>'TANK HARDWARE'!M55</f>
        <v>M12x75-HDG-8.8</v>
      </c>
      <c r="G50" s="113">
        <f>'TANK HARDWARE'!N55</f>
        <v>24</v>
      </c>
      <c r="H50" s="113">
        <f>'TANK HARDWARE'!O55</f>
        <v>24</v>
      </c>
      <c r="I50" s="113">
        <f>'TANK HARDWARE'!Q55</f>
        <v>48</v>
      </c>
      <c r="J50" s="7">
        <f>'TANK HARDWARE'!R55</f>
        <v>0</v>
      </c>
      <c r="K50" s="7">
        <f>'TANK HARDWARE'!P55</f>
        <v>0</v>
      </c>
      <c r="L50" s="34" t="str">
        <f>'TANK HARDWARE'!D55</f>
        <v>SD-268</v>
      </c>
    </row>
    <row r="51" spans="2:12" x14ac:dyDescent="0.25">
      <c r="B51" s="3">
        <f t="shared" si="3"/>
        <v>1</v>
      </c>
      <c r="C51" s="3">
        <f t="shared" si="2"/>
        <v>20</v>
      </c>
      <c r="D51" s="171"/>
      <c r="E51" s="168"/>
      <c r="F51" s="7" t="str">
        <f>'TANK HARDWARE'!M56</f>
        <v>M16x60-HDG-8.8</v>
      </c>
      <c r="G51" s="113">
        <f>'TANK HARDWARE'!N56</f>
        <v>4</v>
      </c>
      <c r="H51" s="113">
        <f>'TANK HARDWARE'!O56</f>
        <v>4</v>
      </c>
      <c r="I51" s="113">
        <f>'TANK HARDWARE'!Q56</f>
        <v>8</v>
      </c>
      <c r="J51" s="7">
        <f>'TANK HARDWARE'!R56</f>
        <v>0</v>
      </c>
      <c r="K51" s="7">
        <f>'TANK HARDWARE'!P56</f>
        <v>0</v>
      </c>
      <c r="L51" s="34" t="str">
        <f>'TANK HARDWARE'!D56</f>
        <v>SD-268</v>
      </c>
    </row>
    <row r="52" spans="2:12" x14ac:dyDescent="0.25">
      <c r="B52" s="3">
        <f t="shared" si="3"/>
        <v>1</v>
      </c>
      <c r="C52" s="3">
        <f t="shared" si="2"/>
        <v>21</v>
      </c>
      <c r="D52" s="177" t="str">
        <f>'TANK HARDWARE'!B57</f>
        <v xml:space="preserve">OLTC INSPECTION COVER ASM - HV SIDE </v>
      </c>
      <c r="E52" s="164"/>
      <c r="F52" s="7" t="str">
        <f>'TANK HARDWARE'!M57</f>
        <v>M12-STUDx60-HDG-8.8</v>
      </c>
      <c r="G52" s="113">
        <f>'TANK HARDWARE'!N57</f>
        <v>0</v>
      </c>
      <c r="H52" s="113">
        <f>'TANK HARDWARE'!O57</f>
        <v>16</v>
      </c>
      <c r="I52" s="113">
        <f>'TANK HARDWARE'!Q57</f>
        <v>16</v>
      </c>
      <c r="J52" s="7">
        <f>'TANK HARDWARE'!R57</f>
        <v>0</v>
      </c>
      <c r="K52" s="7">
        <f>'TANK HARDWARE'!P57</f>
        <v>0</v>
      </c>
      <c r="L52" s="34" t="str">
        <f>'TANK HARDWARE'!D57</f>
        <v>SD-272</v>
      </c>
    </row>
    <row r="53" spans="2:12" x14ac:dyDescent="0.25">
      <c r="B53" s="3">
        <f t="shared" si="3"/>
        <v>1</v>
      </c>
      <c r="C53" s="3">
        <f t="shared" si="2"/>
        <v>22</v>
      </c>
      <c r="D53" s="177" t="str">
        <f>'TANK HARDWARE'!B58</f>
        <v>OLTC INSPECTION COVER ASM - LV SIDE - 1</v>
      </c>
      <c r="E53" s="164"/>
      <c r="F53" s="7" t="str">
        <f>'TANK HARDWARE'!M58</f>
        <v>M12-STUDx60-HDG-8.8</v>
      </c>
      <c r="G53" s="113">
        <f>'TANK HARDWARE'!N58</f>
        <v>0</v>
      </c>
      <c r="H53" s="113">
        <f>'TANK HARDWARE'!O58</f>
        <v>16</v>
      </c>
      <c r="I53" s="113">
        <f>'TANK HARDWARE'!Q58</f>
        <v>16</v>
      </c>
      <c r="J53" s="7">
        <f>'TANK HARDWARE'!R58</f>
        <v>0</v>
      </c>
      <c r="K53" s="7">
        <f>'TANK HARDWARE'!P58</f>
        <v>0</v>
      </c>
      <c r="L53" s="34" t="str">
        <f>'TANK HARDWARE'!D58</f>
        <v>SD-272</v>
      </c>
    </row>
    <row r="54" spans="2:12" x14ac:dyDescent="0.25">
      <c r="B54" s="3">
        <f t="shared" si="3"/>
        <v>1</v>
      </c>
      <c r="C54" s="3">
        <f t="shared" si="2"/>
        <v>23</v>
      </c>
      <c r="D54" s="177" t="str">
        <f>'TANK HARDWARE'!B59</f>
        <v>OLTC INSPECTION COVER ASM - LV SIDE - 2</v>
      </c>
      <c r="E54" s="164"/>
      <c r="F54" s="7" t="str">
        <f>'TANK HARDWARE'!M59</f>
        <v>M12-STUDx60-HDG-8.8</v>
      </c>
      <c r="G54" s="113">
        <f>'TANK HARDWARE'!N59</f>
        <v>0</v>
      </c>
      <c r="H54" s="113">
        <f>'TANK HARDWARE'!O59</f>
        <v>32</v>
      </c>
      <c r="I54" s="113">
        <f>'TANK HARDWARE'!Q59</f>
        <v>32</v>
      </c>
      <c r="J54" s="7">
        <f>'TANK HARDWARE'!R59</f>
        <v>0</v>
      </c>
      <c r="K54" s="7">
        <f>'TANK HARDWARE'!P59</f>
        <v>0</v>
      </c>
      <c r="L54" s="34" t="str">
        <f>'TANK HARDWARE'!D59</f>
        <v>SD-272</v>
      </c>
    </row>
    <row r="55" spans="2:12" x14ac:dyDescent="0.25">
      <c r="B55" s="3">
        <f t="shared" si="3"/>
        <v>1</v>
      </c>
      <c r="C55" s="3">
        <f t="shared" si="2"/>
        <v>24</v>
      </c>
      <c r="D55" s="177" t="str">
        <f>'TANK HARDWARE'!B60</f>
        <v>INSPECTION COVER ASM - HV BUSHING</v>
      </c>
      <c r="E55" s="164"/>
      <c r="F55" s="7" t="str">
        <f>'TANK HARDWARE'!M60</f>
        <v>M12-STUDx60-HDG-8.8</v>
      </c>
      <c r="G55" s="113">
        <f>'TANK HARDWARE'!N60</f>
        <v>0</v>
      </c>
      <c r="H55" s="113">
        <f>'TANK HARDWARE'!O60</f>
        <v>28</v>
      </c>
      <c r="I55" s="113">
        <f>'TANK HARDWARE'!Q60</f>
        <v>28</v>
      </c>
      <c r="J55" s="7">
        <f>'TANK HARDWARE'!R60</f>
        <v>0</v>
      </c>
      <c r="K55" s="7">
        <f>'TANK HARDWARE'!P60</f>
        <v>0</v>
      </c>
      <c r="L55" s="34" t="str">
        <f>'TANK HARDWARE'!D60</f>
        <v>SD-272</v>
      </c>
    </row>
    <row r="56" spans="2:12" x14ac:dyDescent="0.25">
      <c r="B56" s="3">
        <f t="shared" si="3"/>
        <v>1</v>
      </c>
      <c r="C56" s="3">
        <f t="shared" si="2"/>
        <v>25</v>
      </c>
      <c r="D56" s="177" t="str">
        <f>'TANK HARDWARE'!B61</f>
        <v xml:space="preserve">INSPECTION COVER ASM - IV BUSHING </v>
      </c>
      <c r="E56" s="164"/>
      <c r="F56" s="7" t="str">
        <f>'TANK HARDWARE'!M61</f>
        <v>M12-STUDx60-HDG-8.8</v>
      </c>
      <c r="G56" s="113">
        <f>'TANK HARDWARE'!N61</f>
        <v>0</v>
      </c>
      <c r="H56" s="113">
        <f>'TANK HARDWARE'!O61</f>
        <v>38</v>
      </c>
      <c r="I56" s="113">
        <f>'TANK HARDWARE'!Q61</f>
        <v>38</v>
      </c>
      <c r="J56" s="7">
        <f>'TANK HARDWARE'!R61</f>
        <v>0</v>
      </c>
      <c r="K56" s="7">
        <f>'TANK HARDWARE'!P61</f>
        <v>0</v>
      </c>
      <c r="L56" s="34" t="str">
        <f>'TANK HARDWARE'!D61</f>
        <v>SD-272</v>
      </c>
    </row>
    <row r="57" spans="2:12" x14ac:dyDescent="0.25">
      <c r="B57" s="3">
        <f t="shared" si="3"/>
        <v>1</v>
      </c>
      <c r="C57" s="3">
        <f t="shared" si="2"/>
        <v>26</v>
      </c>
      <c r="D57" s="177" t="str">
        <f>'TANK HARDWARE'!B62</f>
        <v>INSPECTION COVER ASM - LV BUSHING</v>
      </c>
      <c r="E57" s="164"/>
      <c r="F57" s="7" t="str">
        <f>'TANK HARDWARE'!M62</f>
        <v>M12-STUDx60-HDG-8.8</v>
      </c>
      <c r="G57" s="113">
        <f>'TANK HARDWARE'!N62</f>
        <v>0</v>
      </c>
      <c r="H57" s="113">
        <f>'TANK HARDWARE'!O62</f>
        <v>32</v>
      </c>
      <c r="I57" s="113">
        <f>'TANK HARDWARE'!Q62</f>
        <v>32</v>
      </c>
      <c r="J57" s="7">
        <f>'TANK HARDWARE'!R62</f>
        <v>0</v>
      </c>
      <c r="K57" s="7">
        <f>'TANK HARDWARE'!P62</f>
        <v>0</v>
      </c>
      <c r="L57" s="34" t="str">
        <f>'TANK HARDWARE'!D62</f>
        <v>SD-272</v>
      </c>
    </row>
    <row r="58" spans="2:12" x14ac:dyDescent="0.25">
      <c r="B58" s="3">
        <f t="shared" si="3"/>
        <v>1</v>
      </c>
      <c r="C58" s="3">
        <f t="shared" si="2"/>
        <v>27</v>
      </c>
      <c r="D58" s="177" t="str">
        <f>'TANK HARDWARE'!B63</f>
        <v xml:space="preserve">INSPECTION COVER ASM - HVN BUSHING </v>
      </c>
      <c r="E58" s="164"/>
      <c r="F58" s="7" t="str">
        <f>'TANK HARDWARE'!M63</f>
        <v>M12-STUDx60-HDG-8.8</v>
      </c>
      <c r="G58" s="113">
        <f>'TANK HARDWARE'!N63</f>
        <v>0</v>
      </c>
      <c r="H58" s="113">
        <f>'TANK HARDWARE'!O63</f>
        <v>30</v>
      </c>
      <c r="I58" s="113">
        <f>'TANK HARDWARE'!Q63</f>
        <v>30</v>
      </c>
      <c r="J58" s="7">
        <f>'TANK HARDWARE'!R63</f>
        <v>0</v>
      </c>
      <c r="K58" s="7">
        <f>'TANK HARDWARE'!P63</f>
        <v>0</v>
      </c>
      <c r="L58" s="34" t="str">
        <f>'TANK HARDWARE'!D63</f>
        <v>SD-272</v>
      </c>
    </row>
    <row r="59" spans="2:12" x14ac:dyDescent="0.25">
      <c r="B59" s="3">
        <f t="shared" si="3"/>
        <v>1</v>
      </c>
      <c r="C59" s="3">
        <f t="shared" si="2"/>
        <v>28</v>
      </c>
      <c r="D59" s="177" t="str">
        <f>'TANK HARDWARE'!B64</f>
        <v xml:space="preserve">INSPECTION COVER ASM - LVN BUSHING </v>
      </c>
      <c r="E59" s="164"/>
      <c r="F59" s="7" t="str">
        <f>'TANK HARDWARE'!M64</f>
        <v>M12-STUDx60-HDG-8.8</v>
      </c>
      <c r="G59" s="113">
        <f>'TANK HARDWARE'!N64</f>
        <v>0</v>
      </c>
      <c r="H59" s="113">
        <f>'TANK HARDWARE'!O64</f>
        <v>26</v>
      </c>
      <c r="I59" s="113">
        <f>'TANK HARDWARE'!Q64</f>
        <v>26</v>
      </c>
      <c r="J59" s="7">
        <f>'TANK HARDWARE'!R64</f>
        <v>0</v>
      </c>
      <c r="K59" s="7">
        <f>'TANK HARDWARE'!P64</f>
        <v>0</v>
      </c>
      <c r="L59" s="34" t="str">
        <f>'TANK HARDWARE'!D64</f>
        <v>SD-272</v>
      </c>
    </row>
    <row r="60" spans="2:12" x14ac:dyDescent="0.25">
      <c r="B60" s="3">
        <f t="shared" si="3"/>
        <v>1</v>
      </c>
      <c r="C60" s="3">
        <f t="shared" si="2"/>
        <v>29</v>
      </c>
      <c r="D60" s="177" t="str">
        <f>'TANK HARDWARE'!B65</f>
        <v xml:space="preserve">TRANSPORT OIL LEVEL GAUGE </v>
      </c>
      <c r="E60" s="164"/>
      <c r="F60" s="7" t="str">
        <f>'TANK HARDWARE'!M65</f>
        <v>M8-STUDx50-HDG-8.8</v>
      </c>
      <c r="G60" s="113">
        <f>'TANK HARDWARE'!N65</f>
        <v>0</v>
      </c>
      <c r="H60" s="113">
        <f>'TANK HARDWARE'!O65</f>
        <v>10</v>
      </c>
      <c r="I60" s="113">
        <f>'TANK HARDWARE'!Q65</f>
        <v>20</v>
      </c>
      <c r="J60" s="7">
        <f>'TANK HARDWARE'!R65</f>
        <v>0</v>
      </c>
      <c r="K60" s="7">
        <f>'TANK HARDWARE'!P65</f>
        <v>0</v>
      </c>
      <c r="L60" s="34" t="str">
        <f>'TANK HARDWARE'!D65</f>
        <v>SD-272</v>
      </c>
    </row>
    <row r="61" spans="2:12" x14ac:dyDescent="0.25">
      <c r="B61" s="3">
        <f t="shared" si="3"/>
        <v>1</v>
      </c>
      <c r="C61" s="3">
        <f t="shared" si="2"/>
        <v>30</v>
      </c>
      <c r="D61" s="177" t="str">
        <f>'TANK HARDWARE'!B66</f>
        <v xml:space="preserve">LADDER ASSEMBLY </v>
      </c>
      <c r="E61" s="169"/>
      <c r="F61" s="7" t="str">
        <f>'TANK HARDWARE'!M66</f>
        <v>M12x50-HDG-8.8</v>
      </c>
      <c r="G61" s="113">
        <f>'TANK HARDWARE'!N66</f>
        <v>16</v>
      </c>
      <c r="H61" s="113">
        <f>'TANK HARDWARE'!O66</f>
        <v>16</v>
      </c>
      <c r="I61" s="113">
        <f>'TANK HARDWARE'!Q66</f>
        <v>32</v>
      </c>
      <c r="J61" s="7">
        <f>'TANK HARDWARE'!R66</f>
        <v>16</v>
      </c>
      <c r="K61" s="7">
        <f>'TANK HARDWARE'!P66</f>
        <v>0</v>
      </c>
      <c r="L61" s="34" t="str">
        <f>'TANK HARDWARE'!D66</f>
        <v>SD-269</v>
      </c>
    </row>
    <row r="62" spans="2:12" x14ac:dyDescent="0.25">
      <c r="B62" s="3">
        <f t="shared" si="3"/>
        <v>1</v>
      </c>
      <c r="C62" s="3">
        <f t="shared" si="2"/>
        <v>31</v>
      </c>
      <c r="D62" s="171"/>
      <c r="E62" s="168"/>
      <c r="F62" s="7" t="str">
        <f>'TANK HARDWARE'!M67</f>
        <v>M8x40-HDG-8.8</v>
      </c>
      <c r="G62" s="113">
        <f>'TANK HARDWARE'!N67</f>
        <v>4</v>
      </c>
      <c r="H62" s="113">
        <f>'TANK HARDWARE'!O67</f>
        <v>4</v>
      </c>
      <c r="I62" s="113">
        <f>'TANK HARDWARE'!Q67</f>
        <v>8</v>
      </c>
      <c r="J62" s="7">
        <f>'TANK HARDWARE'!R67</f>
        <v>8</v>
      </c>
      <c r="K62" s="7">
        <f>'TANK HARDWARE'!P67</f>
        <v>0</v>
      </c>
      <c r="L62" s="34" t="str">
        <f>'TANK HARDWARE'!D67</f>
        <v>SD-269</v>
      </c>
    </row>
    <row r="63" spans="2:12" x14ac:dyDescent="0.25">
      <c r="B63" s="3">
        <f t="shared" si="3"/>
        <v>1</v>
      </c>
      <c r="C63" s="3">
        <f t="shared" si="2"/>
        <v>32</v>
      </c>
      <c r="D63" s="177" t="str">
        <f>'TANK HARDWARE'!B68</f>
        <v xml:space="preserve">N2 CYLINDER MOUTING ASSEMBLY </v>
      </c>
      <c r="E63" s="164"/>
      <c r="F63" s="7" t="str">
        <f>'TANK HARDWARE'!M68</f>
        <v>M12x60-HDG-8.8</v>
      </c>
      <c r="G63" s="113">
        <f>'TANK HARDWARE'!N68</f>
        <v>2</v>
      </c>
      <c r="H63" s="113">
        <f>'TANK HARDWARE'!O68</f>
        <v>2</v>
      </c>
      <c r="I63" s="113">
        <f>'TANK HARDWARE'!Q68</f>
        <v>4</v>
      </c>
      <c r="J63" s="7">
        <f>'TANK HARDWARE'!R68</f>
        <v>4</v>
      </c>
      <c r="K63" s="7">
        <f>'TANK HARDWARE'!P68</f>
        <v>0</v>
      </c>
      <c r="L63" s="34" t="str">
        <f>'TANK HARDWARE'!D68</f>
        <v>SD-269</v>
      </c>
    </row>
    <row r="64" spans="2:12" x14ac:dyDescent="0.25">
      <c r="B64" s="3">
        <f t="shared" si="3"/>
        <v>1</v>
      </c>
      <c r="C64" s="3">
        <f t="shared" si="2"/>
        <v>33</v>
      </c>
      <c r="D64" s="177" t="str">
        <f>'TANK HARDWARE'!B69</f>
        <v xml:space="preserve">AUTOMATIC PRESSURE REGULATOR MTG </v>
      </c>
      <c r="E64" s="164"/>
      <c r="F64" s="7" t="str">
        <f>'TANK HARDWARE'!M69</f>
        <v>M12x60-HDG-8.8</v>
      </c>
      <c r="G64" s="113">
        <f>'TANK HARDWARE'!N69</f>
        <v>2</v>
      </c>
      <c r="H64" s="113">
        <f>'TANK HARDWARE'!O69</f>
        <v>2</v>
      </c>
      <c r="I64" s="113">
        <f>'TANK HARDWARE'!Q69</f>
        <v>4</v>
      </c>
      <c r="J64" s="7">
        <f>'TANK HARDWARE'!R69</f>
        <v>4</v>
      </c>
      <c r="K64" s="7">
        <f>'TANK HARDWARE'!P69</f>
        <v>0</v>
      </c>
      <c r="L64" s="34" t="str">
        <f>'TANK HARDWARE'!D69</f>
        <v>SD-269</v>
      </c>
    </row>
    <row r="65" spans="2:12" x14ac:dyDescent="0.25">
      <c r="B65" s="3">
        <f t="shared" si="3"/>
        <v>1</v>
      </c>
      <c r="C65" s="3">
        <f t="shared" si="2"/>
        <v>34</v>
      </c>
      <c r="D65" s="177" t="str">
        <f>'TANK HARDWARE'!B70</f>
        <v>INDOTECH NAME PLATE ASSEMBLY</v>
      </c>
      <c r="E65" s="169"/>
      <c r="F65" s="7" t="str">
        <f>'TANK HARDWARE'!M70</f>
        <v>M12x40-HDG-8.8</v>
      </c>
      <c r="G65" s="113">
        <f>'TANK HARDWARE'!N70</f>
        <v>6</v>
      </c>
      <c r="H65" s="113">
        <f>'TANK HARDWARE'!O70</f>
        <v>6</v>
      </c>
      <c r="I65" s="113">
        <f>'TANK HARDWARE'!Q70</f>
        <v>12</v>
      </c>
      <c r="J65" s="7">
        <f>'TANK HARDWARE'!R70</f>
        <v>6</v>
      </c>
      <c r="K65" s="7">
        <f>'TANK HARDWARE'!P70</f>
        <v>0</v>
      </c>
      <c r="L65" s="34" t="str">
        <f>'TANK HARDWARE'!D70</f>
        <v>SD-269</v>
      </c>
    </row>
    <row r="66" spans="2:12" x14ac:dyDescent="0.25">
      <c r="B66" s="3">
        <f t="shared" si="3"/>
        <v>1</v>
      </c>
      <c r="C66" s="3">
        <f t="shared" si="2"/>
        <v>35</v>
      </c>
      <c r="D66" s="171"/>
      <c r="E66" s="168"/>
      <c r="F66" s="7" t="str">
        <f>'TANK HARDWARE'!M71</f>
        <v>M5x30-HDG-8.8</v>
      </c>
      <c r="G66" s="113">
        <f>'TANK HARDWARE'!N71</f>
        <v>8</v>
      </c>
      <c r="H66" s="113">
        <f>'TANK HARDWARE'!O71</f>
        <v>8</v>
      </c>
      <c r="I66" s="113">
        <f>'TANK HARDWARE'!Q71</f>
        <v>16</v>
      </c>
      <c r="J66" s="7">
        <f>'TANK HARDWARE'!R71</f>
        <v>8</v>
      </c>
      <c r="K66" s="7">
        <f>'TANK HARDWARE'!P71</f>
        <v>0</v>
      </c>
      <c r="L66" s="34" t="str">
        <f>'TANK HARDWARE'!D71</f>
        <v>SD-269</v>
      </c>
    </row>
    <row r="67" spans="2:12" x14ac:dyDescent="0.25">
      <c r="B67" s="3">
        <f t="shared" si="3"/>
        <v>1</v>
      </c>
      <c r="C67" s="3">
        <f t="shared" si="2"/>
        <v>36</v>
      </c>
      <c r="D67" s="177" t="str">
        <f>'TANK HARDWARE'!B72</f>
        <v>PIN INSULATOR SUPPORT (SD-48) HVN</v>
      </c>
      <c r="E67" s="164"/>
      <c r="F67" s="7" t="str">
        <f>'TANK HARDWARE'!M72</f>
        <v>M12x50-HDG-8.8</v>
      </c>
      <c r="G67" s="113">
        <f>'TANK HARDWARE'!N72</f>
        <v>4</v>
      </c>
      <c r="H67" s="113">
        <f>'TANK HARDWARE'!O72</f>
        <v>4</v>
      </c>
      <c r="I67" s="113">
        <f>'TANK HARDWARE'!Q72</f>
        <v>8</v>
      </c>
      <c r="J67" s="7">
        <f>'TANK HARDWARE'!R72</f>
        <v>4</v>
      </c>
      <c r="K67" s="7">
        <f>'TANK HARDWARE'!P72</f>
        <v>4</v>
      </c>
      <c r="L67" s="34" t="str">
        <f>'TANK HARDWARE'!D72</f>
        <v>SD-269</v>
      </c>
    </row>
    <row r="68" spans="2:12" x14ac:dyDescent="0.25">
      <c r="B68" s="3">
        <f t="shared" si="3"/>
        <v>1</v>
      </c>
      <c r="C68" s="3">
        <f t="shared" si="2"/>
        <v>37</v>
      </c>
      <c r="D68" s="177" t="str">
        <f>'TANK HARDWARE'!B73</f>
        <v>PIN INSULATOR SUPPORT (SD-48) LVN</v>
      </c>
      <c r="E68" s="164"/>
      <c r="F68" s="7" t="str">
        <f>'TANK HARDWARE'!M73</f>
        <v>M12x50-HDG-8.8</v>
      </c>
      <c r="G68" s="113">
        <f>'TANK HARDWARE'!N73</f>
        <v>4</v>
      </c>
      <c r="H68" s="113">
        <f>'TANK HARDWARE'!O73</f>
        <v>4</v>
      </c>
      <c r="I68" s="113">
        <f>'TANK HARDWARE'!Q73</f>
        <v>8</v>
      </c>
      <c r="J68" s="7">
        <f>'TANK HARDWARE'!R73</f>
        <v>4</v>
      </c>
      <c r="K68" s="7">
        <f>'TANK HARDWARE'!P73</f>
        <v>4</v>
      </c>
      <c r="L68" s="34" t="str">
        <f>'TANK HARDWARE'!D73</f>
        <v>SD-269</v>
      </c>
    </row>
    <row r="69" spans="2:12" x14ac:dyDescent="0.25">
      <c r="B69" s="3">
        <f t="shared" si="3"/>
        <v>1</v>
      </c>
      <c r="C69" s="3">
        <f t="shared" si="2"/>
        <v>38</v>
      </c>
      <c r="D69" s="177" t="str">
        <f>'TANK HARDWARE'!B74</f>
        <v>PIN INSULATOR SUPPORT (SD-48) TVN</v>
      </c>
      <c r="E69" s="164"/>
      <c r="F69" s="7" t="str">
        <f>'TANK HARDWARE'!M74</f>
        <v>M12x50-HDG-8.8</v>
      </c>
      <c r="G69" s="113">
        <f>'TANK HARDWARE'!N74</f>
        <v>4</v>
      </c>
      <c r="H69" s="113">
        <f>'TANK HARDWARE'!O74</f>
        <v>4</v>
      </c>
      <c r="I69" s="113">
        <f>'TANK HARDWARE'!Q74</f>
        <v>8</v>
      </c>
      <c r="J69" s="7">
        <f>'TANK HARDWARE'!R74</f>
        <v>4</v>
      </c>
      <c r="K69" s="7">
        <f>'TANK HARDWARE'!P74</f>
        <v>4</v>
      </c>
      <c r="L69" s="34" t="str">
        <f>'TANK HARDWARE'!D74</f>
        <v>SD-269</v>
      </c>
    </row>
    <row r="70" spans="2:12" x14ac:dyDescent="0.25">
      <c r="B70" s="3">
        <f t="shared" si="3"/>
        <v>1</v>
      </c>
      <c r="C70" s="3">
        <f t="shared" si="2"/>
        <v>39</v>
      </c>
      <c r="D70" s="177" t="str">
        <f>'TANK HARDWARE'!B75</f>
        <v xml:space="preserve">RATING PLATE </v>
      </c>
      <c r="E70" s="169"/>
      <c r="F70" s="7" t="str">
        <f>'TANK HARDWARE'!M75</f>
        <v>M10x40-HDG-8.8</v>
      </c>
      <c r="G70" s="113">
        <f>'TANK HARDWARE'!N75</f>
        <v>8</v>
      </c>
      <c r="H70" s="113">
        <f>'TANK HARDWARE'!O75</f>
        <v>8</v>
      </c>
      <c r="I70" s="113">
        <f>'TANK HARDWARE'!Q75</f>
        <v>16</v>
      </c>
      <c r="J70" s="7">
        <f>'TANK HARDWARE'!R75</f>
        <v>8</v>
      </c>
      <c r="K70" s="7">
        <f>'TANK HARDWARE'!P75</f>
        <v>0</v>
      </c>
      <c r="L70" s="34" t="str">
        <f>'TANK HARDWARE'!D75</f>
        <v>SD-269</v>
      </c>
    </row>
    <row r="71" spans="2:12" x14ac:dyDescent="0.25">
      <c r="B71" s="3">
        <f t="shared" si="3"/>
        <v>1</v>
      </c>
      <c r="C71" s="3">
        <f t="shared" si="2"/>
        <v>40</v>
      </c>
      <c r="D71" s="171"/>
      <c r="E71" s="168"/>
      <c r="F71" s="7" t="str">
        <f>'TANK HARDWARE'!M76</f>
        <v>M4x30-HDG-8.8</v>
      </c>
      <c r="G71" s="113">
        <f>'TANK HARDWARE'!N76</f>
        <v>16</v>
      </c>
      <c r="H71" s="113">
        <f>'TANK HARDWARE'!O76</f>
        <v>16</v>
      </c>
      <c r="I71" s="113">
        <f>'TANK HARDWARE'!Q76</f>
        <v>32</v>
      </c>
      <c r="J71" s="7">
        <f>'TANK HARDWARE'!R76</f>
        <v>16</v>
      </c>
      <c r="K71" s="7">
        <f>'TANK HARDWARE'!P76</f>
        <v>0</v>
      </c>
      <c r="L71" s="34" t="str">
        <f>'TANK HARDWARE'!D76</f>
        <v>SD-269</v>
      </c>
    </row>
    <row r="72" spans="2:12" x14ac:dyDescent="0.25">
      <c r="B72" s="3">
        <f t="shared" si="3"/>
        <v>1</v>
      </c>
      <c r="C72" s="3">
        <f t="shared" si="2"/>
        <v>41</v>
      </c>
      <c r="D72" s="177" t="str">
        <f>'TANK HARDWARE'!B77</f>
        <v xml:space="preserve">VALVE SCHEDULE PLATE </v>
      </c>
      <c r="E72" s="169"/>
      <c r="F72" s="7" t="str">
        <f>'TANK HARDWARE'!M77</f>
        <v>M10x40-HDG-8.8</v>
      </c>
      <c r="G72" s="113">
        <f>'TANK HARDWARE'!N77</f>
        <v>4</v>
      </c>
      <c r="H72" s="113">
        <f>'TANK HARDWARE'!O77</f>
        <v>4</v>
      </c>
      <c r="I72" s="113">
        <f>'TANK HARDWARE'!Q77</f>
        <v>8</v>
      </c>
      <c r="J72" s="7">
        <f>'TANK HARDWARE'!R77</f>
        <v>4</v>
      </c>
      <c r="K72" s="7">
        <f>'TANK HARDWARE'!P77</f>
        <v>0</v>
      </c>
      <c r="L72" s="34" t="str">
        <f>'TANK HARDWARE'!D77</f>
        <v>SD-269</v>
      </c>
    </row>
    <row r="73" spans="2:12" x14ac:dyDescent="0.25">
      <c r="B73" s="3">
        <f t="shared" si="3"/>
        <v>1</v>
      </c>
      <c r="C73" s="3">
        <f t="shared" si="2"/>
        <v>42</v>
      </c>
      <c r="D73" s="171"/>
      <c r="E73" s="168"/>
      <c r="F73" s="7" t="str">
        <f>'TANK HARDWARE'!M78</f>
        <v>M4x30-HDG-8.8</v>
      </c>
      <c r="G73" s="113">
        <f>'TANK HARDWARE'!N78</f>
        <v>8</v>
      </c>
      <c r="H73" s="113">
        <f>'TANK HARDWARE'!O78</f>
        <v>8</v>
      </c>
      <c r="I73" s="113">
        <f>'TANK HARDWARE'!Q78</f>
        <v>16</v>
      </c>
      <c r="J73" s="7">
        <f>'TANK HARDWARE'!R78</f>
        <v>8</v>
      </c>
      <c r="K73" s="7">
        <f>'TANK HARDWARE'!P78</f>
        <v>0</v>
      </c>
      <c r="L73" s="34" t="str">
        <f>'TANK HARDWARE'!D78</f>
        <v>SD-269</v>
      </c>
    </row>
    <row r="74" spans="2:12" x14ac:dyDescent="0.25">
      <c r="D74" s="177"/>
      <c r="E74" s="164"/>
      <c r="F74" s="7"/>
      <c r="G74" s="113"/>
      <c r="H74" s="113"/>
      <c r="I74" s="113"/>
      <c r="J74" s="7" t="s">
        <v>223</v>
      </c>
      <c r="K74" s="7"/>
      <c r="L74" s="34"/>
    </row>
    <row r="75" spans="2:12" x14ac:dyDescent="0.25">
      <c r="B75" s="3">
        <f t="shared" ref="B75:B119" si="4">IF(H75=0,0,1)</f>
        <v>1</v>
      </c>
      <c r="C75" s="3">
        <f>B75+C73</f>
        <v>43</v>
      </c>
      <c r="D75" s="177" t="str">
        <f>'TANK HARDWARE'!B79</f>
        <v xml:space="preserve">OIL FILLING INSTRUCTION PLATE </v>
      </c>
      <c r="E75" s="169"/>
      <c r="F75" s="7" t="str">
        <f>'TANK HARDWARE'!M79</f>
        <v>M10x40-HDG-8.8</v>
      </c>
      <c r="G75" s="113">
        <f>'TANK HARDWARE'!N79</f>
        <v>4</v>
      </c>
      <c r="H75" s="113">
        <f>'TANK HARDWARE'!O79</f>
        <v>4</v>
      </c>
      <c r="I75" s="113">
        <f>'TANK HARDWARE'!Q79</f>
        <v>8</v>
      </c>
      <c r="J75" s="7">
        <f>'TANK HARDWARE'!R79</f>
        <v>4</v>
      </c>
      <c r="K75" s="7">
        <f>'TANK HARDWARE'!P79</f>
        <v>0</v>
      </c>
      <c r="L75" s="34" t="str">
        <f>'TANK HARDWARE'!D79</f>
        <v>SD-269</v>
      </c>
    </row>
    <row r="76" spans="2:12" x14ac:dyDescent="0.25">
      <c r="B76" s="3">
        <f t="shared" si="4"/>
        <v>1</v>
      </c>
      <c r="C76" s="3">
        <f t="shared" ref="C76:C119" si="5">B76+C75</f>
        <v>44</v>
      </c>
      <c r="D76" s="171"/>
      <c r="E76" s="168"/>
      <c r="F76" s="7" t="str">
        <f>'TANK HARDWARE'!M80</f>
        <v>M4x30-HDG-8.8</v>
      </c>
      <c r="G76" s="113">
        <f>'TANK HARDWARE'!N80</f>
        <v>8</v>
      </c>
      <c r="H76" s="113">
        <f>'TANK HARDWARE'!O80</f>
        <v>8</v>
      </c>
      <c r="I76" s="113">
        <f>'TANK HARDWARE'!Q80</f>
        <v>16</v>
      </c>
      <c r="J76" s="7">
        <f>'TANK HARDWARE'!R80</f>
        <v>8</v>
      </c>
      <c r="K76" s="7">
        <f>'TANK HARDWARE'!P80</f>
        <v>0</v>
      </c>
      <c r="L76" s="34" t="str">
        <f>'TANK HARDWARE'!D80</f>
        <v>SD-269</v>
      </c>
    </row>
    <row r="77" spans="2:12" x14ac:dyDescent="0.25">
      <c r="B77" s="3">
        <f t="shared" si="4"/>
        <v>1</v>
      </c>
      <c r="C77" s="3">
        <f t="shared" si="5"/>
        <v>45</v>
      </c>
      <c r="D77" s="177" t="str">
        <f>'TANK HARDWARE'!B81</f>
        <v>DO'S &amp; DONT'S PLATE SUPPORT</v>
      </c>
      <c r="E77" s="169"/>
      <c r="F77" s="7" t="str">
        <f>'TANK HARDWARE'!M81</f>
        <v>M10x40-HDG-8.8</v>
      </c>
      <c r="G77" s="113">
        <f>'TANK HARDWARE'!N81</f>
        <v>4</v>
      </c>
      <c r="H77" s="113">
        <f>'TANK HARDWARE'!O81</f>
        <v>4</v>
      </c>
      <c r="I77" s="113">
        <f>'TANK HARDWARE'!Q81</f>
        <v>8</v>
      </c>
      <c r="J77" s="7">
        <f>'TANK HARDWARE'!R81</f>
        <v>4</v>
      </c>
      <c r="K77" s="7">
        <f>'TANK HARDWARE'!P81</f>
        <v>0</v>
      </c>
      <c r="L77" s="34" t="str">
        <f>'TANK HARDWARE'!D81</f>
        <v>SD-269</v>
      </c>
    </row>
    <row r="78" spans="2:12" x14ac:dyDescent="0.25">
      <c r="B78" s="3">
        <f t="shared" si="4"/>
        <v>1</v>
      </c>
      <c r="C78" s="3">
        <f t="shared" si="5"/>
        <v>46</v>
      </c>
      <c r="D78" s="171"/>
      <c r="E78" s="168"/>
      <c r="F78" s="7" t="str">
        <f>'TANK HARDWARE'!M82</f>
        <v>M4x30-HDG-8.8</v>
      </c>
      <c r="G78" s="113">
        <f>'TANK HARDWARE'!N82</f>
        <v>4</v>
      </c>
      <c r="H78" s="113">
        <f>'TANK HARDWARE'!O82</f>
        <v>4</v>
      </c>
      <c r="I78" s="113">
        <f>'TANK HARDWARE'!Q82</f>
        <v>8</v>
      </c>
      <c r="J78" s="7">
        <f>'TANK HARDWARE'!R82</f>
        <v>4</v>
      </c>
      <c r="K78" s="7">
        <f>'TANK HARDWARE'!P82</f>
        <v>0</v>
      </c>
      <c r="L78" s="34" t="str">
        <f>'TANK HARDWARE'!D82</f>
        <v>SD-269</v>
      </c>
    </row>
    <row r="79" spans="2:12" x14ac:dyDescent="0.25">
      <c r="B79" s="3">
        <f t="shared" si="4"/>
        <v>1</v>
      </c>
      <c r="C79" s="3">
        <f t="shared" si="5"/>
        <v>47</v>
      </c>
      <c r="D79" s="177" t="str">
        <f>'TANK HARDWARE'!B83</f>
        <v>BCT PLATE SUPPORT</v>
      </c>
      <c r="E79" s="169"/>
      <c r="F79" s="7" t="str">
        <f>'TANK HARDWARE'!M83</f>
        <v>M10x40-HDG-8.8</v>
      </c>
      <c r="G79" s="113">
        <f>'TANK HARDWARE'!N83</f>
        <v>4</v>
      </c>
      <c r="H79" s="113">
        <f>'TANK HARDWARE'!O83</f>
        <v>4</v>
      </c>
      <c r="I79" s="113">
        <f>'TANK HARDWARE'!Q83</f>
        <v>8</v>
      </c>
      <c r="J79" s="7">
        <f>'TANK HARDWARE'!R83</f>
        <v>4</v>
      </c>
      <c r="K79" s="7">
        <f>'TANK HARDWARE'!P83</f>
        <v>0</v>
      </c>
      <c r="L79" s="34" t="str">
        <f>'TANK HARDWARE'!D83</f>
        <v>SD-269</v>
      </c>
    </row>
    <row r="80" spans="2:12" x14ac:dyDescent="0.25">
      <c r="B80" s="3">
        <f t="shared" si="4"/>
        <v>1</v>
      </c>
      <c r="C80" s="3">
        <f t="shared" si="5"/>
        <v>48</v>
      </c>
      <c r="D80" s="171"/>
      <c r="E80" s="168"/>
      <c r="F80" s="7" t="str">
        <f>'TANK HARDWARE'!M84</f>
        <v>M4x30-HDG-8.8</v>
      </c>
      <c r="G80" s="113">
        <f>'TANK HARDWARE'!N84</f>
        <v>8</v>
      </c>
      <c r="H80" s="113">
        <f>'TANK HARDWARE'!O84</f>
        <v>8</v>
      </c>
      <c r="I80" s="113">
        <f>'TANK HARDWARE'!Q84</f>
        <v>16</v>
      </c>
      <c r="J80" s="7">
        <f>'TANK HARDWARE'!R84</f>
        <v>8</v>
      </c>
      <c r="K80" s="7">
        <f>'TANK HARDWARE'!P84</f>
        <v>0</v>
      </c>
      <c r="L80" s="34" t="str">
        <f>'TANK HARDWARE'!D84</f>
        <v>SD-269</v>
      </c>
    </row>
    <row r="81" spans="2:12" x14ac:dyDescent="0.25">
      <c r="B81" s="3">
        <f t="shared" si="4"/>
        <v>1</v>
      </c>
      <c r="C81" s="3">
        <f t="shared" si="5"/>
        <v>49</v>
      </c>
      <c r="D81" s="201" t="str">
        <f>'TANK HARDWARE'!B85</f>
        <v>GAS COLLECTING SUPPORT</v>
      </c>
      <c r="E81" s="164"/>
      <c r="F81" s="7" t="str">
        <f>'TANK HARDWARE'!M85</f>
        <v>M8x40-HDG-8.8</v>
      </c>
      <c r="G81" s="113">
        <f>'TANK HARDWARE'!N85</f>
        <v>8</v>
      </c>
      <c r="H81" s="113">
        <f>'TANK HARDWARE'!O85</f>
        <v>8</v>
      </c>
      <c r="I81" s="113">
        <f>'TANK HARDWARE'!Q85</f>
        <v>16</v>
      </c>
      <c r="J81" s="7">
        <f>'TANK HARDWARE'!R85</f>
        <v>8</v>
      </c>
      <c r="K81" s="7">
        <f>'TANK HARDWARE'!P85</f>
        <v>0</v>
      </c>
      <c r="L81" s="34" t="str">
        <f>'TANK HARDWARE'!D85</f>
        <v>SD-269</v>
      </c>
    </row>
    <row r="82" spans="2:12" x14ac:dyDescent="0.25">
      <c r="B82" s="3">
        <f t="shared" si="4"/>
        <v>1</v>
      </c>
      <c r="C82" s="3">
        <f t="shared" si="5"/>
        <v>50</v>
      </c>
      <c r="D82" s="201" t="str">
        <f>'TANK HARDWARE'!B86</f>
        <v xml:space="preserve">EARTHING BOSS </v>
      </c>
      <c r="E82" s="164"/>
      <c r="F82" s="7" t="str">
        <f>'TANK HARDWARE'!M86</f>
        <v>M12-STUDx40-HDG-8.8</v>
      </c>
      <c r="G82" s="113">
        <f>'TANK HARDWARE'!N86</f>
        <v>0</v>
      </c>
      <c r="H82" s="113">
        <f>'TANK HARDWARE'!O86</f>
        <v>2</v>
      </c>
      <c r="I82" s="113">
        <f>'TANK HARDWARE'!Q86</f>
        <v>2</v>
      </c>
      <c r="J82" s="7">
        <f>'TANK HARDWARE'!R86</f>
        <v>0</v>
      </c>
      <c r="K82" s="7">
        <f>'TANK HARDWARE'!P86</f>
        <v>0</v>
      </c>
      <c r="L82" s="34" t="str">
        <f>'TANK HARDWARE'!D86</f>
        <v>SD-272</v>
      </c>
    </row>
    <row r="83" spans="2:12" x14ac:dyDescent="0.25">
      <c r="B83" s="3">
        <f t="shared" si="4"/>
        <v>1</v>
      </c>
      <c r="C83" s="3">
        <f t="shared" si="5"/>
        <v>51</v>
      </c>
      <c r="D83" s="201" t="str">
        <f>'TANK HARDWARE'!B87</f>
        <v xml:space="preserve">EARTHING BOSS </v>
      </c>
      <c r="E83" s="164"/>
      <c r="F83" s="7" t="str">
        <f>'TANK HARDWARE'!M87</f>
        <v>M10-STUDx30-HDG-8.8</v>
      </c>
      <c r="G83" s="113">
        <f>'TANK HARDWARE'!N87</f>
        <v>0</v>
      </c>
      <c r="H83" s="113">
        <f>'TANK HARDWARE'!O87</f>
        <v>4</v>
      </c>
      <c r="I83" s="113">
        <f>'TANK HARDWARE'!Q87</f>
        <v>4</v>
      </c>
      <c r="J83" s="7">
        <f>'TANK HARDWARE'!R87</f>
        <v>0</v>
      </c>
      <c r="K83" s="7">
        <f>'TANK HARDWARE'!P87</f>
        <v>0</v>
      </c>
      <c r="L83" s="34" t="str">
        <f>'TANK HARDWARE'!D87</f>
        <v>SD-272</v>
      </c>
    </row>
    <row r="84" spans="2:12" x14ac:dyDescent="0.25">
      <c r="B84" s="3">
        <f t="shared" si="4"/>
        <v>1</v>
      </c>
      <c r="C84" s="3">
        <f t="shared" si="5"/>
        <v>52</v>
      </c>
      <c r="D84" s="205" t="str">
        <f>'TANK HARDWARE'!B88</f>
        <v xml:space="preserve">IMPACT RECORDER ASSEMBLY </v>
      </c>
      <c r="E84" s="169"/>
      <c r="F84" s="7" t="str">
        <f>'TANK HARDWARE'!M88</f>
        <v>M10x40-HDG-8.8</v>
      </c>
      <c r="G84" s="113">
        <f>'TANK HARDWARE'!N88</f>
        <v>4</v>
      </c>
      <c r="H84" s="113">
        <f>'TANK HARDWARE'!O88</f>
        <v>4</v>
      </c>
      <c r="I84" s="113">
        <f>'TANK HARDWARE'!Q88</f>
        <v>8</v>
      </c>
      <c r="J84" s="7">
        <f>'TANK HARDWARE'!R88</f>
        <v>4</v>
      </c>
      <c r="K84" s="7">
        <f>'TANK HARDWARE'!P88</f>
        <v>0</v>
      </c>
      <c r="L84" s="34" t="str">
        <f>'TANK HARDWARE'!D88</f>
        <v>SD-269</v>
      </c>
    </row>
    <row r="85" spans="2:12" x14ac:dyDescent="0.25">
      <c r="B85" s="3">
        <f t="shared" si="4"/>
        <v>1</v>
      </c>
      <c r="C85" s="3">
        <f t="shared" si="5"/>
        <v>53</v>
      </c>
      <c r="D85" s="201" t="str">
        <f>'TANK HARDWARE'!B89</f>
        <v>NIFPS SIGNAL BOX ASSEMBLY</v>
      </c>
      <c r="E85" s="164"/>
      <c r="F85" s="7" t="str">
        <f>'TANK HARDWARE'!M89</f>
        <v>M12x50-HDG-8.8</v>
      </c>
      <c r="G85" s="113">
        <f>'TANK HARDWARE'!N89</f>
        <v>4</v>
      </c>
      <c r="H85" s="113">
        <f>'TANK HARDWARE'!O89</f>
        <v>4</v>
      </c>
      <c r="I85" s="113">
        <f>'TANK HARDWARE'!Q89</f>
        <v>8</v>
      </c>
      <c r="J85" s="7">
        <f>'TANK HARDWARE'!R89</f>
        <v>4</v>
      </c>
      <c r="K85" s="7">
        <f>'TANK HARDWARE'!P89</f>
        <v>0</v>
      </c>
      <c r="L85" s="34" t="str">
        <f>'TANK HARDWARE'!D89</f>
        <v>SD-269</v>
      </c>
    </row>
    <row r="86" spans="2:12" x14ac:dyDescent="0.25">
      <c r="B86" s="3">
        <f t="shared" si="4"/>
        <v>0</v>
      </c>
      <c r="C86" s="3">
        <f t="shared" si="5"/>
        <v>53</v>
      </c>
      <c r="D86" s="201" t="str">
        <f>'TANK HARDWARE'!B90</f>
        <v>TANK SHUNT ASSEMBLY (EARTHING BOLT)</v>
      </c>
      <c r="E86" s="164"/>
      <c r="F86" s="7" t="str">
        <f>'TANK HARDWARE'!M90</f>
        <v>M8x35-HDG-8.8</v>
      </c>
      <c r="G86" s="113">
        <f>'TANK HARDWARE'!N90</f>
        <v>63</v>
      </c>
      <c r="H86" s="113">
        <f>'TANK HARDWARE'!O90</f>
        <v>0</v>
      </c>
      <c r="I86" s="113">
        <f>'TANK HARDWARE'!Q90</f>
        <v>63</v>
      </c>
      <c r="J86" s="7">
        <f>'TANK HARDWARE'!R90</f>
        <v>0</v>
      </c>
      <c r="K86" s="7">
        <f>'TANK HARDWARE'!P90</f>
        <v>0</v>
      </c>
      <c r="L86" s="34" t="str">
        <f>'TANK HARDWARE'!D90</f>
        <v>SD-269</v>
      </c>
    </row>
    <row r="87" spans="2:12" x14ac:dyDescent="0.25">
      <c r="B87" s="3">
        <f t="shared" si="4"/>
        <v>1</v>
      </c>
      <c r="C87" s="3">
        <f t="shared" si="5"/>
        <v>54</v>
      </c>
      <c r="D87" s="177" t="str">
        <f>'TANK HARDWARE'!B91</f>
        <v xml:space="preserve">OLTC CONSERVATOR WITH MOG </v>
      </c>
      <c r="E87" s="169"/>
      <c r="F87" s="7" t="str">
        <f>'TANK HARDWARE'!M91</f>
        <v>M16x55-HDG-8.8</v>
      </c>
      <c r="G87" s="113">
        <f>'TANK HARDWARE'!N91</f>
        <v>4</v>
      </c>
      <c r="H87" s="113">
        <f>'TANK HARDWARE'!O91</f>
        <v>4</v>
      </c>
      <c r="I87" s="113">
        <f>'TANK HARDWARE'!Q91</f>
        <v>8</v>
      </c>
      <c r="J87" s="7">
        <f>'TANK HARDWARE'!R91</f>
        <v>4</v>
      </c>
      <c r="K87" s="7">
        <f>'TANK HARDWARE'!P91</f>
        <v>0</v>
      </c>
      <c r="L87" s="34" t="str">
        <f>'TANK HARDWARE'!D91</f>
        <v>SD-269</v>
      </c>
    </row>
    <row r="88" spans="2:12" x14ac:dyDescent="0.25">
      <c r="B88" s="3">
        <f t="shared" si="4"/>
        <v>1</v>
      </c>
      <c r="C88" s="3">
        <f t="shared" si="5"/>
        <v>55</v>
      </c>
      <c r="D88" s="170"/>
      <c r="E88" s="162"/>
      <c r="F88" s="7" t="str">
        <f>'TANK HARDWARE'!M92</f>
        <v>M10x40-HDG-8.8</v>
      </c>
      <c r="G88" s="113">
        <f>'TANK HARDWARE'!N92</f>
        <v>18</v>
      </c>
      <c r="H88" s="113">
        <f>'TANK HARDWARE'!O92</f>
        <v>18</v>
      </c>
      <c r="I88" s="113">
        <f>'TANK HARDWARE'!Q92</f>
        <v>36</v>
      </c>
      <c r="J88" s="7">
        <f>'TANK HARDWARE'!R92</f>
        <v>0</v>
      </c>
      <c r="K88" s="7">
        <f>'TANK HARDWARE'!P92</f>
        <v>0</v>
      </c>
      <c r="L88" s="34" t="str">
        <f>'TANK HARDWARE'!D92</f>
        <v>SD-268</v>
      </c>
    </row>
    <row r="89" spans="2:12" x14ac:dyDescent="0.25">
      <c r="B89" s="3">
        <f t="shared" si="4"/>
        <v>1</v>
      </c>
      <c r="C89" s="3">
        <f t="shared" si="5"/>
        <v>56</v>
      </c>
      <c r="D89" s="170"/>
      <c r="E89" s="162"/>
      <c r="F89" s="7" t="str">
        <f>'TANK HARDWARE'!M93</f>
        <v>M12x50-HDG-8.8</v>
      </c>
      <c r="G89" s="113">
        <f>'TANK HARDWARE'!N93</f>
        <v>40</v>
      </c>
      <c r="H89" s="113">
        <f>'TANK HARDWARE'!O93</f>
        <v>40</v>
      </c>
      <c r="I89" s="113">
        <f>'TANK HARDWARE'!Q93</f>
        <v>80</v>
      </c>
      <c r="J89" s="7">
        <f>'TANK HARDWARE'!R93</f>
        <v>0</v>
      </c>
      <c r="K89" s="7">
        <f>'TANK HARDWARE'!P93</f>
        <v>0</v>
      </c>
      <c r="L89" s="34" t="str">
        <f>'TANK HARDWARE'!D93</f>
        <v>SD-268</v>
      </c>
    </row>
    <row r="90" spans="2:12" x14ac:dyDescent="0.25">
      <c r="B90" s="3">
        <f t="shared" si="4"/>
        <v>1</v>
      </c>
      <c r="C90" s="3">
        <f t="shared" si="5"/>
        <v>57</v>
      </c>
      <c r="D90" s="171"/>
      <c r="E90" s="168"/>
      <c r="F90" s="7" t="str">
        <f>'TANK HARDWARE'!M94</f>
        <v>M10-STUDx40-HDG-8.8</v>
      </c>
      <c r="G90" s="113">
        <f>'TANK HARDWARE'!N94</f>
        <v>0</v>
      </c>
      <c r="H90" s="113">
        <f>'TANK HARDWARE'!O94</f>
        <v>6</v>
      </c>
      <c r="I90" s="113">
        <f>'TANK HARDWARE'!Q94</f>
        <v>6</v>
      </c>
      <c r="J90" s="7">
        <f>'TANK HARDWARE'!R94</f>
        <v>0</v>
      </c>
      <c r="K90" s="7">
        <f>'TANK HARDWARE'!P94</f>
        <v>0</v>
      </c>
      <c r="L90" s="34" t="str">
        <f>'TANK HARDWARE'!D94</f>
        <v>SD-272</v>
      </c>
    </row>
    <row r="91" spans="2:12" x14ac:dyDescent="0.25">
      <c r="B91" s="3">
        <f t="shared" si="4"/>
        <v>1</v>
      </c>
      <c r="C91" s="3">
        <f t="shared" si="5"/>
        <v>58</v>
      </c>
      <c r="D91" s="177" t="str">
        <f>'TANK HARDWARE'!B95</f>
        <v xml:space="preserve">OLTC CONSERVATOR WITH NO MOG </v>
      </c>
      <c r="E91" s="169"/>
      <c r="F91" s="7" t="str">
        <f>'TANK HARDWARE'!M95</f>
        <v>M16x60-HDG-8.8</v>
      </c>
      <c r="G91" s="113">
        <f>'TANK HARDWARE'!N95</f>
        <v>4</v>
      </c>
      <c r="H91" s="113">
        <f>'TANK HARDWARE'!O95</f>
        <v>4</v>
      </c>
      <c r="I91" s="113">
        <f>'TANK HARDWARE'!Q95</f>
        <v>8</v>
      </c>
      <c r="J91" s="7">
        <f>'TANK HARDWARE'!R95</f>
        <v>4</v>
      </c>
      <c r="K91" s="7">
        <f>'TANK HARDWARE'!P95</f>
        <v>0</v>
      </c>
      <c r="L91" s="34" t="str">
        <f>'TANK HARDWARE'!D95</f>
        <v>SD-269</v>
      </c>
    </row>
    <row r="92" spans="2:12" x14ac:dyDescent="0.25">
      <c r="B92" s="3">
        <f t="shared" si="4"/>
        <v>1</v>
      </c>
      <c r="C92" s="3">
        <f t="shared" si="5"/>
        <v>59</v>
      </c>
      <c r="D92" s="170"/>
      <c r="E92" s="162"/>
      <c r="F92" s="7" t="str">
        <f>'TANK HARDWARE'!M96</f>
        <v>M10x40-HDG-8.8</v>
      </c>
      <c r="G92" s="113">
        <f>'TANK HARDWARE'!N96</f>
        <v>18</v>
      </c>
      <c r="H92" s="113">
        <f>'TANK HARDWARE'!O96</f>
        <v>18</v>
      </c>
      <c r="I92" s="113">
        <f>'TANK HARDWARE'!Q96</f>
        <v>36</v>
      </c>
      <c r="J92" s="7">
        <f>'TANK HARDWARE'!R96</f>
        <v>0</v>
      </c>
      <c r="K92" s="7">
        <f>'TANK HARDWARE'!P96</f>
        <v>0</v>
      </c>
      <c r="L92" s="34" t="str">
        <f>'TANK HARDWARE'!D96</f>
        <v>SD-268</v>
      </c>
    </row>
    <row r="93" spans="2:12" x14ac:dyDescent="0.25">
      <c r="B93" s="3">
        <f t="shared" si="4"/>
        <v>1</v>
      </c>
      <c r="C93" s="3">
        <f t="shared" si="5"/>
        <v>60</v>
      </c>
      <c r="D93" s="171"/>
      <c r="E93" s="168"/>
      <c r="F93" s="7" t="str">
        <f>'TANK HARDWARE'!M97</f>
        <v>M12x50-HDG-8.8</v>
      </c>
      <c r="G93" s="113">
        <f>'TANK HARDWARE'!N97</f>
        <v>40</v>
      </c>
      <c r="H93" s="113">
        <f>'TANK HARDWARE'!O97</f>
        <v>40</v>
      </c>
      <c r="I93" s="113">
        <f>'TANK HARDWARE'!Q97</f>
        <v>80</v>
      </c>
      <c r="J93" s="7">
        <f>'TANK HARDWARE'!R97</f>
        <v>0</v>
      </c>
      <c r="K93" s="7">
        <f>'TANK HARDWARE'!P97</f>
        <v>0</v>
      </c>
      <c r="L93" s="34" t="str">
        <f>'TANK HARDWARE'!D97</f>
        <v>SD-268</v>
      </c>
    </row>
    <row r="94" spans="2:12" x14ac:dyDescent="0.25">
      <c r="B94" s="3">
        <f t="shared" si="4"/>
        <v>1</v>
      </c>
      <c r="C94" s="3">
        <f t="shared" si="5"/>
        <v>61</v>
      </c>
      <c r="D94" s="177" t="str">
        <f>'TANK HARDWARE'!B98</f>
        <v xml:space="preserve">PRV DRAIN PIPE ASSEMBLY </v>
      </c>
      <c r="E94" s="169"/>
      <c r="F94" s="7" t="str">
        <f>'TANK HARDWARE'!M98</f>
        <v>M16x50-HDG-8.8</v>
      </c>
      <c r="G94" s="113">
        <f>'TANK HARDWARE'!N98</f>
        <v>8</v>
      </c>
      <c r="H94" s="113">
        <f>'TANK HARDWARE'!O98</f>
        <v>8</v>
      </c>
      <c r="I94" s="113">
        <f>'TANK HARDWARE'!Q98</f>
        <v>16</v>
      </c>
      <c r="J94" s="7">
        <f>'TANK HARDWARE'!R98</f>
        <v>0</v>
      </c>
      <c r="K94" s="7">
        <f>'TANK HARDWARE'!P98</f>
        <v>0</v>
      </c>
      <c r="L94" s="34" t="str">
        <f>'TANK HARDWARE'!D98</f>
        <v>SD-269</v>
      </c>
    </row>
    <row r="95" spans="2:12" x14ac:dyDescent="0.25">
      <c r="B95" s="3">
        <f t="shared" si="4"/>
        <v>1</v>
      </c>
      <c r="C95" s="3">
        <f t="shared" si="5"/>
        <v>62</v>
      </c>
      <c r="D95" s="171"/>
      <c r="E95" s="168"/>
      <c r="F95" s="7" t="str">
        <f>'TANK HARDWARE'!M99</f>
        <v>M16x50-HDG-8.8</v>
      </c>
      <c r="G95" s="113">
        <f>'TANK HARDWARE'!N99</f>
        <v>4</v>
      </c>
      <c r="H95" s="113">
        <f>'TANK HARDWARE'!O99</f>
        <v>4</v>
      </c>
      <c r="I95" s="113">
        <f>'TANK HARDWARE'!Q99</f>
        <v>8</v>
      </c>
      <c r="J95" s="7">
        <f>'TANK HARDWARE'!R99</f>
        <v>0</v>
      </c>
      <c r="K95" s="7">
        <f>'TANK HARDWARE'!P99</f>
        <v>0</v>
      </c>
      <c r="L95" s="34" t="str">
        <f>'TANK HARDWARE'!D99</f>
        <v>SD-269</v>
      </c>
    </row>
    <row r="96" spans="2:12" x14ac:dyDescent="0.25">
      <c r="B96" s="3">
        <f t="shared" si="4"/>
        <v>1</v>
      </c>
      <c r="C96" s="3">
        <f t="shared" si="5"/>
        <v>63</v>
      </c>
      <c r="D96" s="177" t="str">
        <f>'TANK HARDWARE'!B100</f>
        <v>RADIATOR TIE BAR ASSEMBLY</v>
      </c>
      <c r="E96" s="169"/>
      <c r="F96" s="7" t="str">
        <f>'TANK HARDWARE'!M100</f>
        <v>M20x70-HDG-8.8</v>
      </c>
      <c r="G96" s="113">
        <f>'TANK HARDWARE'!N100</f>
        <v>2</v>
      </c>
      <c r="H96" s="113">
        <f>'TANK HARDWARE'!O100</f>
        <v>2</v>
      </c>
      <c r="I96" s="113">
        <f>'TANK HARDWARE'!Q100</f>
        <v>4</v>
      </c>
      <c r="J96" s="7">
        <f>'TANK HARDWARE'!R100</f>
        <v>0</v>
      </c>
      <c r="K96" s="7">
        <f>'TANK HARDWARE'!P100</f>
        <v>0</v>
      </c>
      <c r="L96" s="34" t="str">
        <f>'TANK HARDWARE'!D100</f>
        <v>SD-269</v>
      </c>
    </row>
    <row r="97" spans="2:12" x14ac:dyDescent="0.25">
      <c r="B97" s="3">
        <f t="shared" si="4"/>
        <v>1</v>
      </c>
      <c r="C97" s="3">
        <f t="shared" si="5"/>
        <v>64</v>
      </c>
      <c r="D97" s="171"/>
      <c r="E97" s="168"/>
      <c r="F97" s="7" t="str">
        <f>'TANK HARDWARE'!M101</f>
        <v>M16-STUDx30-HDG-8.8</v>
      </c>
      <c r="G97" s="113">
        <f>'TANK HARDWARE'!N101</f>
        <v>0</v>
      </c>
      <c r="H97" s="113">
        <f>'TANK HARDWARE'!O101</f>
        <v>1</v>
      </c>
      <c r="I97" s="113">
        <f>'TANK HARDWARE'!Q101</f>
        <v>2</v>
      </c>
      <c r="J97" s="7">
        <f>'TANK HARDWARE'!R101</f>
        <v>0</v>
      </c>
      <c r="K97" s="7">
        <f>'TANK HARDWARE'!P101</f>
        <v>0</v>
      </c>
      <c r="L97" s="34" t="str">
        <f>'TANK HARDWARE'!D101</f>
        <v>SD-272</v>
      </c>
    </row>
    <row r="98" spans="2:12" x14ac:dyDescent="0.25">
      <c r="B98" s="3">
        <f t="shared" si="4"/>
        <v>1</v>
      </c>
      <c r="C98" s="3">
        <f t="shared" si="5"/>
        <v>65</v>
      </c>
      <c r="D98" s="177" t="str">
        <f>'TANK HARDWARE'!B102</f>
        <v>RADIATOR TIE FLAT</v>
      </c>
      <c r="E98" s="164"/>
      <c r="F98" s="7" t="str">
        <f>'TANK HARDWARE'!M102</f>
        <v>M16x60-HDG-8.8</v>
      </c>
      <c r="G98" s="113">
        <f>'TANK HARDWARE'!N102</f>
        <v>9</v>
      </c>
      <c r="H98" s="113">
        <f>'TANK HARDWARE'!O102</f>
        <v>9</v>
      </c>
      <c r="I98" s="113">
        <f>'TANK HARDWARE'!Q102</f>
        <v>18</v>
      </c>
      <c r="J98" s="7">
        <f>'TANK HARDWARE'!R102</f>
        <v>0</v>
      </c>
      <c r="K98" s="7">
        <f>'TANK HARDWARE'!P102</f>
        <v>0</v>
      </c>
      <c r="L98" s="34" t="str">
        <f>'TANK HARDWARE'!D102</f>
        <v>SD-269</v>
      </c>
    </row>
    <row r="99" spans="2:12" x14ac:dyDescent="0.25">
      <c r="B99" s="3">
        <f t="shared" si="4"/>
        <v>1</v>
      </c>
      <c r="C99" s="3">
        <f t="shared" si="5"/>
        <v>66</v>
      </c>
      <c r="D99" s="177" t="str">
        <f>'TANK HARDWARE'!B103</f>
        <v>BEVEL GEAR SUPPORT TO TANK ( ESUN )</v>
      </c>
      <c r="E99" s="164"/>
      <c r="F99" s="7" t="str">
        <f>'TANK HARDWARE'!M103</f>
        <v>M16x50-HDG-8.8</v>
      </c>
      <c r="G99" s="113">
        <f>'TANK HARDWARE'!N103</f>
        <v>4</v>
      </c>
      <c r="H99" s="113">
        <f>'TANK HARDWARE'!O103</f>
        <v>4</v>
      </c>
      <c r="I99" s="113">
        <f>'TANK HARDWARE'!Q103</f>
        <v>8</v>
      </c>
      <c r="J99" s="7">
        <f>'TANK HARDWARE'!R103</f>
        <v>4</v>
      </c>
      <c r="K99" s="7">
        <f>'TANK HARDWARE'!P103</f>
        <v>0</v>
      </c>
      <c r="L99" s="34" t="str">
        <f>'TANK HARDWARE'!D103</f>
        <v>SD-269</v>
      </c>
    </row>
    <row r="100" spans="2:12" x14ac:dyDescent="0.25">
      <c r="B100" s="3">
        <f t="shared" si="4"/>
        <v>1</v>
      </c>
      <c r="C100" s="3">
        <f t="shared" si="5"/>
        <v>67</v>
      </c>
      <c r="D100" s="95" t="str">
        <f>'TANK HARDWARE'!B104</f>
        <v>IMMEDIATE BEVEL GEAR SUPPORT TO TANK</v>
      </c>
      <c r="E100" s="110"/>
      <c r="F100" s="7" t="str">
        <f>'TANK HARDWARE'!M104</f>
        <v>M12x50-HDG-8.8</v>
      </c>
      <c r="G100" s="113">
        <f>'TANK HARDWARE'!N104</f>
        <v>6</v>
      </c>
      <c r="H100" s="113">
        <f>'TANK HARDWARE'!O104</f>
        <v>6</v>
      </c>
      <c r="I100" s="113">
        <f>'TANK HARDWARE'!Q104</f>
        <v>12</v>
      </c>
      <c r="J100" s="7">
        <f>'TANK HARDWARE'!R104</f>
        <v>6</v>
      </c>
      <c r="K100" s="7">
        <f>'TANK HARDWARE'!P104</f>
        <v>0</v>
      </c>
      <c r="L100" s="34" t="str">
        <f>'TANK HARDWARE'!D104</f>
        <v>SD-269</v>
      </c>
    </row>
    <row r="101" spans="2:12" x14ac:dyDescent="0.25">
      <c r="B101" s="3">
        <f t="shared" si="4"/>
        <v>1</v>
      </c>
      <c r="C101" s="3">
        <f t="shared" si="5"/>
        <v>68</v>
      </c>
      <c r="D101" s="177" t="str">
        <f>'TANK HARDWARE'!B105</f>
        <v>OLTC MD ASSEMBLY</v>
      </c>
      <c r="E101" s="164"/>
      <c r="F101" s="7" t="str">
        <f>'TANK HARDWARE'!M105</f>
        <v>M16x50-HDG-8.8</v>
      </c>
      <c r="G101" s="113">
        <f>'TANK HARDWARE'!N105</f>
        <v>4</v>
      </c>
      <c r="H101" s="113">
        <f>'TANK HARDWARE'!O105</f>
        <v>4</v>
      </c>
      <c r="I101" s="113">
        <f>'TANK HARDWARE'!Q105</f>
        <v>8</v>
      </c>
      <c r="J101" s="7">
        <f>'TANK HARDWARE'!R105</f>
        <v>4</v>
      </c>
      <c r="K101" s="7">
        <f>'TANK HARDWARE'!P105</f>
        <v>0</v>
      </c>
      <c r="L101" s="34" t="str">
        <f>'TANK HARDWARE'!D105</f>
        <v>SD-269</v>
      </c>
    </row>
    <row r="102" spans="2:12" x14ac:dyDescent="0.25">
      <c r="B102" s="3">
        <f t="shared" si="4"/>
        <v>1</v>
      </c>
      <c r="C102" s="3">
        <f t="shared" si="5"/>
        <v>69</v>
      </c>
      <c r="D102" s="177" t="str">
        <f>'TANK HARDWARE'!B106</f>
        <v>OLTC BEVEL GEAR ASSEMBLY</v>
      </c>
      <c r="E102" s="164"/>
      <c r="F102" s="7" t="str">
        <f>'TANK HARDWARE'!M106</f>
        <v>M16x60-HDG-8.8</v>
      </c>
      <c r="G102" s="113">
        <f>'TANK HARDWARE'!N106</f>
        <v>2</v>
      </c>
      <c r="H102" s="113">
        <f>'TANK HARDWARE'!O106</f>
        <v>2</v>
      </c>
      <c r="I102" s="113">
        <f>'TANK HARDWARE'!Q106</f>
        <v>4</v>
      </c>
      <c r="J102" s="7">
        <f>'TANK HARDWARE'!R106</f>
        <v>2</v>
      </c>
      <c r="K102" s="7">
        <f>'TANK HARDWARE'!P106</f>
        <v>0</v>
      </c>
      <c r="L102" s="34" t="str">
        <f>'TANK HARDWARE'!D106</f>
        <v>SD-269</v>
      </c>
    </row>
    <row r="103" spans="2:12" x14ac:dyDescent="0.25">
      <c r="B103" s="3">
        <f t="shared" si="4"/>
        <v>1</v>
      </c>
      <c r="C103" s="3">
        <f t="shared" si="5"/>
        <v>70</v>
      </c>
      <c r="D103" s="177" t="str">
        <f>'TANK HARDWARE'!B107</f>
        <v>OLTC INTERMEDIATE SUPPORT</v>
      </c>
      <c r="E103" s="164"/>
      <c r="F103" s="7" t="str">
        <f>'TANK HARDWARE'!M107</f>
        <v>M16x60-HDG-8.8</v>
      </c>
      <c r="G103" s="113">
        <f>'TANK HARDWARE'!N107</f>
        <v>2</v>
      </c>
      <c r="H103" s="113">
        <f>'TANK HARDWARE'!O107</f>
        <v>2</v>
      </c>
      <c r="I103" s="113">
        <f>'TANK HARDWARE'!Q107</f>
        <v>4</v>
      </c>
      <c r="J103" s="7">
        <f>'TANK HARDWARE'!R107</f>
        <v>2</v>
      </c>
      <c r="K103" s="7">
        <f>'TANK HARDWARE'!P107</f>
        <v>0</v>
      </c>
      <c r="L103" s="34" t="str">
        <f>'TANK HARDWARE'!D107</f>
        <v>SD-269</v>
      </c>
    </row>
    <row r="104" spans="2:12" x14ac:dyDescent="0.25">
      <c r="B104" s="3">
        <f t="shared" si="4"/>
        <v>1</v>
      </c>
      <c r="C104" s="3">
        <f t="shared" si="5"/>
        <v>71</v>
      </c>
      <c r="D104" s="177" t="str">
        <f>'TANK HARDWARE'!B108</f>
        <v>HV NEUTRAL EARTHING FLAT CONN. ASM</v>
      </c>
      <c r="E104" s="164"/>
      <c r="F104" s="7" t="str">
        <f>'TANK HARDWARE'!M108</f>
        <v>M12x50-HDG-8.8</v>
      </c>
      <c r="G104" s="113">
        <f>'TANK HARDWARE'!N108</f>
        <v>20</v>
      </c>
      <c r="H104" s="113">
        <f>'TANK HARDWARE'!O108</f>
        <v>20</v>
      </c>
      <c r="I104" s="113">
        <f>'TANK HARDWARE'!Q108</f>
        <v>40</v>
      </c>
      <c r="J104" s="7">
        <f>'TANK HARDWARE'!R108</f>
        <v>0</v>
      </c>
      <c r="K104" s="7">
        <f>'TANK HARDWARE'!P108</f>
        <v>0</v>
      </c>
      <c r="L104" s="34" t="str">
        <f>'TANK HARDWARE'!D108</f>
        <v>SD-269</v>
      </c>
    </row>
    <row r="105" spans="2:12" x14ac:dyDescent="0.25">
      <c r="B105" s="3">
        <f t="shared" si="4"/>
        <v>1</v>
      </c>
      <c r="C105" s="3">
        <f t="shared" si="5"/>
        <v>72</v>
      </c>
      <c r="D105" s="177" t="str">
        <f>'TANK HARDWARE'!B109</f>
        <v>LV NEUTRAL EARTHING FLAT CONN. ASM</v>
      </c>
      <c r="E105" s="164"/>
      <c r="F105" s="7" t="str">
        <f>'TANK HARDWARE'!M109</f>
        <v>M12x50-HDG-8.8</v>
      </c>
      <c r="G105" s="113">
        <f>'TANK HARDWARE'!N109</f>
        <v>20</v>
      </c>
      <c r="H105" s="113">
        <f>'TANK HARDWARE'!O109</f>
        <v>20</v>
      </c>
      <c r="I105" s="113">
        <f>'TANK HARDWARE'!Q109</f>
        <v>40</v>
      </c>
      <c r="J105" s="7">
        <f>'TANK HARDWARE'!R109</f>
        <v>0</v>
      </c>
      <c r="K105" s="7">
        <f>'TANK HARDWARE'!P109</f>
        <v>0</v>
      </c>
      <c r="L105" s="34" t="str">
        <f>'TANK HARDWARE'!D109</f>
        <v>SD-269</v>
      </c>
    </row>
    <row r="106" spans="2:12" x14ac:dyDescent="0.25">
      <c r="B106" s="3">
        <f t="shared" si="4"/>
        <v>1</v>
      </c>
      <c r="C106" s="3">
        <f t="shared" si="5"/>
        <v>73</v>
      </c>
      <c r="D106" s="177" t="str">
        <f>'TANK HARDWARE'!B110</f>
        <v>FOS MOUNTING ASSEMBLY</v>
      </c>
      <c r="E106" s="164"/>
      <c r="F106" s="7" t="str">
        <f>'TANK HARDWARE'!M110</f>
        <v>M10-STUDx50-HDG-8.8</v>
      </c>
      <c r="G106" s="113">
        <f>'TANK HARDWARE'!N110</f>
        <v>0</v>
      </c>
      <c r="H106" s="113">
        <f>'TANK HARDWARE'!O110</f>
        <v>8</v>
      </c>
      <c r="I106" s="113">
        <f>'TANK HARDWARE'!Q110</f>
        <v>8</v>
      </c>
      <c r="J106" s="7">
        <f>'TANK HARDWARE'!R110</f>
        <v>0</v>
      </c>
      <c r="K106" s="7">
        <f>'TANK HARDWARE'!P110</f>
        <v>0</v>
      </c>
      <c r="L106" s="34" t="str">
        <f>'TANK HARDWARE'!D110</f>
        <v>SD-272</v>
      </c>
    </row>
    <row r="107" spans="2:12" x14ac:dyDescent="0.25">
      <c r="B107" s="3">
        <f t="shared" si="4"/>
        <v>1</v>
      </c>
      <c r="C107" s="3">
        <f t="shared" si="5"/>
        <v>74</v>
      </c>
      <c r="D107" s="177" t="str">
        <f>'TANK HARDWARE'!B111</f>
        <v>FOS INSPECTION COVER ASM</v>
      </c>
      <c r="E107" s="164"/>
      <c r="F107" s="7" t="str">
        <f>'TANK HARDWARE'!M111</f>
        <v>M12-STUDx60-HDG-8.8</v>
      </c>
      <c r="G107" s="113">
        <f>'TANK HARDWARE'!N111</f>
        <v>0</v>
      </c>
      <c r="H107" s="113">
        <f>'TANK HARDWARE'!O111</f>
        <v>38</v>
      </c>
      <c r="I107" s="113">
        <f>'TANK HARDWARE'!Q111</f>
        <v>38</v>
      </c>
      <c r="J107" s="7">
        <f>'TANK HARDWARE'!R111</f>
        <v>0</v>
      </c>
      <c r="K107" s="7">
        <f>'TANK HARDWARE'!P111</f>
        <v>0</v>
      </c>
      <c r="L107" s="34" t="str">
        <f>'TANK HARDWARE'!D111</f>
        <v>SD-272</v>
      </c>
    </row>
    <row r="108" spans="2:12" x14ac:dyDescent="0.25">
      <c r="B108" s="3">
        <f t="shared" si="4"/>
        <v>1</v>
      </c>
      <c r="C108" s="3">
        <f t="shared" si="5"/>
        <v>75</v>
      </c>
      <c r="D108" s="177" t="str">
        <f>'TANK HARDWARE'!B112</f>
        <v>ONLINE DGA MOUNTING</v>
      </c>
      <c r="E108" s="164"/>
      <c r="F108" s="7" t="str">
        <f>'TANK HARDWARE'!M112</f>
        <v>M12x50-HDG-8.8</v>
      </c>
      <c r="G108" s="113">
        <f>'TANK HARDWARE'!N112</f>
        <v>1</v>
      </c>
      <c r="H108" s="113">
        <f>'TANK HARDWARE'!O112</f>
        <v>1</v>
      </c>
      <c r="I108" s="113">
        <f>'TANK HARDWARE'!Q112</f>
        <v>2</v>
      </c>
      <c r="J108" s="7">
        <f>'TANK HARDWARE'!R112</f>
        <v>0</v>
      </c>
      <c r="K108" s="7">
        <f>'TANK HARDWARE'!P112</f>
        <v>0</v>
      </c>
      <c r="L108" s="34" t="str">
        <f>'TANK HARDWARE'!D112</f>
        <v>SD-269</v>
      </c>
    </row>
    <row r="109" spans="2:12" x14ac:dyDescent="0.25">
      <c r="B109" s="3">
        <f t="shared" si="4"/>
        <v>1</v>
      </c>
      <c r="C109" s="3">
        <f t="shared" si="5"/>
        <v>76</v>
      </c>
      <c r="D109" s="177" t="str">
        <f>'TANK HARDWARE'!B113</f>
        <v>ONLINE DRYOUT SYSTEM MOUNTING</v>
      </c>
      <c r="E109" s="164"/>
      <c r="F109" s="7" t="str">
        <f>'TANK HARDWARE'!M113</f>
        <v>M12x50-HDG-8.8</v>
      </c>
      <c r="G109" s="113">
        <f>'TANK HARDWARE'!N113</f>
        <v>1</v>
      </c>
      <c r="H109" s="113">
        <f>'TANK HARDWARE'!O113</f>
        <v>1</v>
      </c>
      <c r="I109" s="113">
        <f>'TANK HARDWARE'!Q113</f>
        <v>2</v>
      </c>
      <c r="J109" s="7">
        <f>'TANK HARDWARE'!R113</f>
        <v>0</v>
      </c>
      <c r="K109" s="7">
        <f>'TANK HARDWARE'!P113</f>
        <v>0</v>
      </c>
      <c r="L109" s="34" t="str">
        <f>'TANK HARDWARE'!D113</f>
        <v>SD-269</v>
      </c>
    </row>
    <row r="110" spans="2:12" x14ac:dyDescent="0.25">
      <c r="B110" s="3">
        <f t="shared" si="4"/>
        <v>1</v>
      </c>
      <c r="C110" s="3">
        <f t="shared" si="5"/>
        <v>77</v>
      </c>
      <c r="D110" s="177" t="str">
        <f>'TANK HARDWARE'!B114</f>
        <v>EXT.OLTC FLANGE (STUD &amp; BOLT)</v>
      </c>
      <c r="E110" s="169"/>
      <c r="F110" s="7" t="str">
        <f>'TANK HARDWARE'!M114</f>
        <v>M24x110-HDG-8.8</v>
      </c>
      <c r="G110" s="113">
        <f>'TANK HARDWARE'!N114</f>
        <v>1</v>
      </c>
      <c r="H110" s="113">
        <f>'TANK HARDWARE'!O114</f>
        <v>1</v>
      </c>
      <c r="I110" s="113">
        <f>'TANK HARDWARE'!Q114</f>
        <v>2</v>
      </c>
      <c r="J110" s="7">
        <f>'TANK HARDWARE'!R114</f>
        <v>0</v>
      </c>
      <c r="K110" s="7">
        <f>'TANK HARDWARE'!P114</f>
        <v>0</v>
      </c>
      <c r="L110" s="34" t="str">
        <f>'TANK HARDWARE'!D114</f>
        <v>SD-268</v>
      </c>
    </row>
    <row r="111" spans="2:12" x14ac:dyDescent="0.25">
      <c r="B111" s="3">
        <f t="shared" si="4"/>
        <v>1</v>
      </c>
      <c r="C111" s="3">
        <f t="shared" si="5"/>
        <v>78</v>
      </c>
      <c r="D111" s="171"/>
      <c r="E111" s="168"/>
      <c r="F111" s="7" t="str">
        <f>'TANK HARDWARE'!M115</f>
        <v>M24x110-HDG-8.8</v>
      </c>
      <c r="G111" s="113">
        <f>'TANK HARDWARE'!N115</f>
        <v>1</v>
      </c>
      <c r="H111" s="113">
        <f>'TANK HARDWARE'!O115</f>
        <v>1</v>
      </c>
      <c r="I111" s="113">
        <f>'TANK HARDWARE'!Q115</f>
        <v>2</v>
      </c>
      <c r="J111" s="7">
        <f>'TANK HARDWARE'!R115</f>
        <v>0</v>
      </c>
      <c r="K111" s="7">
        <f>'TANK HARDWARE'!P115</f>
        <v>0</v>
      </c>
      <c r="L111" s="34" t="str">
        <f>'TANK HARDWARE'!D115</f>
        <v>SD-272</v>
      </c>
    </row>
    <row r="112" spans="2:12" x14ac:dyDescent="0.25">
      <c r="B112" s="3">
        <f t="shared" si="4"/>
        <v>1</v>
      </c>
      <c r="C112" s="3">
        <f t="shared" si="5"/>
        <v>79</v>
      </c>
      <c r="D112" s="177" t="str">
        <f>'TANK HARDWARE'!B116</f>
        <v>BOTTOM TANK PROP SUPPORT</v>
      </c>
      <c r="E112" s="164"/>
      <c r="F112" s="7" t="str">
        <f>'TANK HARDWARE'!M116</f>
        <v>M16x70-HDG-8.8</v>
      </c>
      <c r="G112" s="113">
        <f>'TANK HARDWARE'!N116</f>
        <v>8</v>
      </c>
      <c r="H112" s="113">
        <f>'TANK HARDWARE'!O116</f>
        <v>8</v>
      </c>
      <c r="I112" s="113">
        <f>'TANK HARDWARE'!Q116</f>
        <v>16</v>
      </c>
      <c r="J112" s="7">
        <f>'TANK HARDWARE'!R116</f>
        <v>8</v>
      </c>
      <c r="K112" s="7">
        <f>'TANK HARDWARE'!P116</f>
        <v>0</v>
      </c>
      <c r="L112" s="34" t="str">
        <f>'TANK HARDWARE'!D116</f>
        <v>SD-269</v>
      </c>
    </row>
    <row r="113" spans="2:12" x14ac:dyDescent="0.25">
      <c r="B113" s="3">
        <f t="shared" si="4"/>
        <v>1</v>
      </c>
      <c r="C113" s="3">
        <f t="shared" si="5"/>
        <v>80</v>
      </c>
      <c r="D113" s="177" t="str">
        <f>'TANK HARDWARE'!B117</f>
        <v>HV CABLE BOX TANK SUPPORT</v>
      </c>
      <c r="E113" s="164"/>
      <c r="F113" s="7" t="str">
        <f>'TANK HARDWARE'!M117</f>
        <v>M16x50-HDG-8.8</v>
      </c>
      <c r="G113" s="113">
        <f>'TANK HARDWARE'!N117</f>
        <v>1</v>
      </c>
      <c r="H113" s="113">
        <f>'TANK HARDWARE'!O117</f>
        <v>1</v>
      </c>
      <c r="I113" s="113">
        <f>'TANK HARDWARE'!Q117</f>
        <v>2</v>
      </c>
      <c r="J113" s="7">
        <f>'TANK HARDWARE'!R117</f>
        <v>0</v>
      </c>
      <c r="K113" s="7">
        <f>'TANK HARDWARE'!P117</f>
        <v>0</v>
      </c>
      <c r="L113" s="34" t="str">
        <f>'TANK HARDWARE'!D117</f>
        <v>SD-269</v>
      </c>
    </row>
    <row r="114" spans="2:12" x14ac:dyDescent="0.25">
      <c r="B114" s="3">
        <f t="shared" si="4"/>
        <v>1</v>
      </c>
      <c r="C114" s="3">
        <f t="shared" si="5"/>
        <v>81</v>
      </c>
      <c r="D114" s="177" t="str">
        <f>'TANK HARDWARE'!B118</f>
        <v>LV CABLE BOX TANK SUPPORT</v>
      </c>
      <c r="E114" s="164"/>
      <c r="F114" s="7" t="str">
        <f>'TANK HARDWARE'!M118</f>
        <v>M16x50-HDG-8.8</v>
      </c>
      <c r="G114" s="113">
        <f>'TANK HARDWARE'!N118</f>
        <v>1</v>
      </c>
      <c r="H114" s="113">
        <f>'TANK HARDWARE'!O118</f>
        <v>1</v>
      </c>
      <c r="I114" s="113">
        <f>'TANK HARDWARE'!Q118</f>
        <v>2</v>
      </c>
      <c r="J114" s="7">
        <f>'TANK HARDWARE'!R118</f>
        <v>0</v>
      </c>
      <c r="K114" s="7">
        <f>'TANK HARDWARE'!P118</f>
        <v>0</v>
      </c>
      <c r="L114" s="34" t="str">
        <f>'TANK HARDWARE'!D118</f>
        <v>SD-269</v>
      </c>
    </row>
    <row r="115" spans="2:12" x14ac:dyDescent="0.25">
      <c r="B115" s="3">
        <f t="shared" si="4"/>
        <v>1</v>
      </c>
      <c r="C115" s="3">
        <f t="shared" si="5"/>
        <v>82</v>
      </c>
      <c r="D115" s="177" t="str">
        <f>'TANK HARDWARE'!B119</f>
        <v>TV CABLE BOX TANK SUPPORT</v>
      </c>
      <c r="E115" s="164"/>
      <c r="F115" s="7" t="str">
        <f>'TANK HARDWARE'!M119</f>
        <v>M5x40-HDG-8.8</v>
      </c>
      <c r="G115" s="113">
        <f>'TANK HARDWARE'!N119</f>
        <v>1</v>
      </c>
      <c r="H115" s="113">
        <f>'TANK HARDWARE'!O119</f>
        <v>1</v>
      </c>
      <c r="I115" s="113">
        <f>'TANK HARDWARE'!Q119</f>
        <v>2</v>
      </c>
      <c r="J115" s="7">
        <f>'TANK HARDWARE'!R119</f>
        <v>0</v>
      </c>
      <c r="K115" s="7">
        <f>'TANK HARDWARE'!P119</f>
        <v>0</v>
      </c>
      <c r="L115" s="34" t="str">
        <f>'TANK HARDWARE'!D119</f>
        <v>SD-269</v>
      </c>
    </row>
    <row r="116" spans="2:12" x14ac:dyDescent="0.25">
      <c r="B116" s="3">
        <f t="shared" si="4"/>
        <v>1</v>
      </c>
      <c r="C116" s="3">
        <f t="shared" si="5"/>
        <v>83</v>
      </c>
      <c r="D116" s="177" t="str">
        <f>'TANK HARDWARE'!B120</f>
        <v xml:space="preserve">200/150NB GROUND PIPE SUPPORT CLAMP </v>
      </c>
      <c r="E116" s="164"/>
      <c r="F116" s="7" t="str">
        <f>'TANK HARDWARE'!M120</f>
        <v>M16x50-HDG-8.8</v>
      </c>
      <c r="G116" s="113">
        <f>'TANK HARDWARE'!N120</f>
        <v>1</v>
      </c>
      <c r="H116" s="113">
        <f>'TANK HARDWARE'!O120</f>
        <v>1</v>
      </c>
      <c r="I116" s="113">
        <f>'TANK HARDWARE'!Q120</f>
        <v>2</v>
      </c>
      <c r="J116" s="7">
        <f>'TANK HARDWARE'!R120</f>
        <v>0</v>
      </c>
      <c r="K116" s="7">
        <f>'TANK HARDWARE'!P120</f>
        <v>0</v>
      </c>
      <c r="L116" s="34" t="str">
        <f>'TANK HARDWARE'!D120</f>
        <v>SD-269</v>
      </c>
    </row>
    <row r="117" spans="2:12" x14ac:dyDescent="0.25">
      <c r="B117" s="3">
        <f t="shared" si="4"/>
        <v>1</v>
      </c>
      <c r="C117" s="3">
        <f t="shared" si="5"/>
        <v>84</v>
      </c>
      <c r="D117" s="177" t="str">
        <f>'TANK HARDWARE'!B121</f>
        <v>PIPE SUPPORTS - OLTC OSR &amp; SUCTION</v>
      </c>
      <c r="E117" s="164"/>
      <c r="F117" s="7" t="str">
        <f>'TANK HARDWARE'!M121</f>
        <v>M16x50-HDG-8.8</v>
      </c>
      <c r="G117" s="113">
        <f>'TANK HARDWARE'!N121</f>
        <v>1</v>
      </c>
      <c r="H117" s="113">
        <f>'TANK HARDWARE'!O121</f>
        <v>1</v>
      </c>
      <c r="I117" s="113">
        <f>'TANK HARDWARE'!Q121</f>
        <v>2</v>
      </c>
      <c r="J117" s="7">
        <f>'TANK HARDWARE'!R121</f>
        <v>0</v>
      </c>
      <c r="K117" s="7">
        <f>'TANK HARDWARE'!P121</f>
        <v>0</v>
      </c>
      <c r="L117" s="34" t="str">
        <f>'TANK HARDWARE'!D121</f>
        <v>SD-269</v>
      </c>
    </row>
    <row r="118" spans="2:12" x14ac:dyDescent="0.25">
      <c r="B118" s="3">
        <f t="shared" si="4"/>
        <v>1</v>
      </c>
      <c r="C118" s="3">
        <f t="shared" si="5"/>
        <v>85</v>
      </c>
      <c r="D118" s="177" t="str">
        <f>'TANK HARDWARE'!B122</f>
        <v>LIGHTNING ARRESTER SUPPORT</v>
      </c>
      <c r="E118" s="164"/>
      <c r="F118" s="7" t="str">
        <f>'TANK HARDWARE'!M122</f>
        <v>M16x50-HDG-8.8</v>
      </c>
      <c r="G118" s="113">
        <f>'TANK HARDWARE'!N122</f>
        <v>1</v>
      </c>
      <c r="H118" s="113">
        <f>'TANK HARDWARE'!O122</f>
        <v>1</v>
      </c>
      <c r="I118" s="113">
        <f>'TANK HARDWARE'!Q122</f>
        <v>2</v>
      </c>
      <c r="J118" s="7">
        <f>'TANK HARDWARE'!R122</f>
        <v>0</v>
      </c>
      <c r="K118" s="7">
        <f>'TANK HARDWARE'!P122</f>
        <v>0</v>
      </c>
      <c r="L118" s="34" t="str">
        <f>'TANK HARDWARE'!D122</f>
        <v>SD-269</v>
      </c>
    </row>
    <row r="119" spans="2:12" x14ac:dyDescent="0.25">
      <c r="B119" s="3">
        <f t="shared" si="4"/>
        <v>1</v>
      </c>
      <c r="C119" s="3">
        <f t="shared" si="5"/>
        <v>86</v>
      </c>
      <c r="D119" s="177" t="str">
        <f>'TANK HARDWARE'!B123</f>
        <v>THERMOSYPHON FILTER ASSEMBLY</v>
      </c>
      <c r="E119" s="164"/>
      <c r="F119" s="7" t="str">
        <f>'TANK HARDWARE'!M123</f>
        <v>M16x50-HDG-8.8</v>
      </c>
      <c r="G119" s="113">
        <f>'TANK HARDWARE'!N123</f>
        <v>1</v>
      </c>
      <c r="H119" s="113">
        <f>'TANK HARDWARE'!O123</f>
        <v>1</v>
      </c>
      <c r="I119" s="113">
        <f>'TANK HARDWARE'!Q123</f>
        <v>2</v>
      </c>
      <c r="J119" s="7">
        <f>'TANK HARDWARE'!R123</f>
        <v>0</v>
      </c>
      <c r="K119" s="7">
        <f>'TANK HARDWARE'!P123</f>
        <v>0</v>
      </c>
      <c r="L119" s="34" t="str">
        <f>'TANK HARDWARE'!D123</f>
        <v>SD-269</v>
      </c>
    </row>
    <row r="120" spans="2:12" x14ac:dyDescent="0.25">
      <c r="B120" s="3" t="s">
        <v>56</v>
      </c>
      <c r="D120" s="177"/>
      <c r="E120" s="164"/>
      <c r="F120" s="31"/>
      <c r="G120" s="31"/>
      <c r="H120" s="31"/>
      <c r="I120" s="31"/>
      <c r="J120" s="31"/>
      <c r="K120" s="31"/>
      <c r="L120" s="90"/>
    </row>
    <row r="121" spans="2:12" x14ac:dyDescent="0.25">
      <c r="B121" s="3" t="s">
        <v>56</v>
      </c>
      <c r="D121" s="202" t="str">
        <f>'TANK HARDWARE'!B125</f>
        <v>COVER (T-03)</v>
      </c>
      <c r="E121" s="165"/>
      <c r="F121" s="165"/>
      <c r="G121" s="165"/>
      <c r="H121" s="165"/>
      <c r="I121" s="165"/>
      <c r="J121" s="165"/>
      <c r="K121" s="165"/>
      <c r="L121" s="164"/>
    </row>
    <row r="122" spans="2:12" x14ac:dyDescent="0.25">
      <c r="B122" s="3">
        <f t="shared" ref="B122:B149" si="6">IF(H122=0,0,1)</f>
        <v>1</v>
      </c>
      <c r="C122" s="3">
        <f t="shared" ref="C122:C149" si="7">B122+C121</f>
        <v>1</v>
      </c>
      <c r="D122" s="205" t="str">
        <f>'TANK HARDWARE'!B126</f>
        <v xml:space="preserve">HV - U TURRET ASSEMBLY - WELDED </v>
      </c>
      <c r="E122" s="169"/>
      <c r="F122" s="7" t="str">
        <f>'TANK HARDWARE'!M126</f>
        <v>M12x70-HDG-8.8</v>
      </c>
      <c r="G122" s="113">
        <f>'TANK HARDWARE'!N126</f>
        <v>24</v>
      </c>
      <c r="H122" s="113">
        <f>'TANK HARDWARE'!O126</f>
        <v>24</v>
      </c>
      <c r="I122" s="113">
        <f>'TANK HARDWARE'!Q126</f>
        <v>48</v>
      </c>
      <c r="J122" s="7">
        <f>'TANK HARDWARE'!R126</f>
        <v>0</v>
      </c>
      <c r="K122" s="7">
        <f>'TANK HARDWARE'!P126</f>
        <v>0</v>
      </c>
      <c r="L122" s="34" t="str">
        <f>'TANK HARDWARE'!D126</f>
        <v>SD-268</v>
      </c>
    </row>
    <row r="123" spans="2:12" x14ac:dyDescent="0.25">
      <c r="B123" s="3">
        <f t="shared" si="6"/>
        <v>1</v>
      </c>
      <c r="C123" s="3">
        <f t="shared" si="7"/>
        <v>2</v>
      </c>
      <c r="D123" s="170"/>
      <c r="E123" s="162"/>
      <c r="F123" s="7" t="str">
        <f>'TANK HARDWARE'!M127</f>
        <v>M12x50-HDG-8.8</v>
      </c>
      <c r="G123" s="113">
        <f>'TANK HARDWARE'!N127</f>
        <v>24</v>
      </c>
      <c r="H123" s="113">
        <f>'TANK HARDWARE'!O127</f>
        <v>24</v>
      </c>
      <c r="I123" s="113">
        <f>'TANK HARDWARE'!Q127</f>
        <v>48</v>
      </c>
      <c r="J123" s="7">
        <f>'TANK HARDWARE'!R127</f>
        <v>0</v>
      </c>
      <c r="K123" s="7">
        <f>'TANK HARDWARE'!P127</f>
        <v>0</v>
      </c>
      <c r="L123" s="34" t="str">
        <f>'TANK HARDWARE'!D127</f>
        <v>SD-268</v>
      </c>
    </row>
    <row r="124" spans="2:12" x14ac:dyDescent="0.25">
      <c r="B124" s="3">
        <f t="shared" si="6"/>
        <v>1</v>
      </c>
      <c r="C124" s="3">
        <f t="shared" si="7"/>
        <v>3</v>
      </c>
      <c r="D124" s="170"/>
      <c r="E124" s="162"/>
      <c r="F124" s="7" t="str">
        <f>'TANK HARDWARE'!M128</f>
        <v>M12-STUDx85-HDG-8.8</v>
      </c>
      <c r="G124" s="113">
        <f>'TANK HARDWARE'!N128</f>
        <v>0</v>
      </c>
      <c r="H124" s="113">
        <f>'TANK HARDWARE'!O128</f>
        <v>6</v>
      </c>
      <c r="I124" s="113">
        <f>'TANK HARDWARE'!Q128</f>
        <v>6</v>
      </c>
      <c r="J124" s="7">
        <f>'TANK HARDWARE'!R128</f>
        <v>0</v>
      </c>
      <c r="K124" s="7">
        <f>'TANK HARDWARE'!P128</f>
        <v>0</v>
      </c>
      <c r="L124" s="34" t="str">
        <f>'TANK HARDWARE'!D128</f>
        <v>SD-272</v>
      </c>
    </row>
    <row r="125" spans="2:12" ht="14.25" customHeight="1" x14ac:dyDescent="0.25">
      <c r="B125" s="3">
        <f t="shared" si="6"/>
        <v>1</v>
      </c>
      <c r="C125" s="3">
        <f t="shared" si="7"/>
        <v>4</v>
      </c>
      <c r="D125" s="170"/>
      <c r="E125" s="162"/>
      <c r="F125" s="31" t="str">
        <f>'TANK HARDWARE'!M129</f>
        <v>M16x60-HDG-8.8</v>
      </c>
      <c r="G125" s="91">
        <f>'TANK HARDWARE'!N129</f>
        <v>4</v>
      </c>
      <c r="H125" s="91">
        <f>'TANK HARDWARE'!O129</f>
        <v>4</v>
      </c>
      <c r="I125" s="91">
        <f>'TANK HARDWARE'!Q129</f>
        <v>8</v>
      </c>
      <c r="J125" s="31">
        <f>'TANK HARDWARE'!R129</f>
        <v>0</v>
      </c>
      <c r="K125" s="7">
        <f>'TANK HARDWARE'!P129</f>
        <v>0</v>
      </c>
      <c r="L125" s="90" t="str">
        <f>'TANK HARDWARE'!D129</f>
        <v>SD-268</v>
      </c>
    </row>
    <row r="126" spans="2:12" x14ac:dyDescent="0.25">
      <c r="B126" s="3">
        <f t="shared" si="6"/>
        <v>1</v>
      </c>
      <c r="C126" s="3">
        <f t="shared" si="7"/>
        <v>5</v>
      </c>
      <c r="D126" s="205" t="str">
        <f>'TANK HARDWARE'!B130</f>
        <v>HV - V&amp;W TURRET ASSEMBLY - SPLIT (PSD-650)</v>
      </c>
      <c r="E126" s="169"/>
      <c r="F126" s="31" t="str">
        <f>'TANK HARDWARE'!M130</f>
        <v>M12x60-HDG-8.8</v>
      </c>
      <c r="G126" s="113">
        <f>'TANK HARDWARE'!N130</f>
        <v>48</v>
      </c>
      <c r="H126" s="113">
        <f>'TANK HARDWARE'!O130</f>
        <v>48</v>
      </c>
      <c r="I126" s="113">
        <f>'TANK HARDWARE'!Q130</f>
        <v>96</v>
      </c>
      <c r="J126" s="7">
        <f>'TANK HARDWARE'!R130</f>
        <v>0</v>
      </c>
      <c r="K126" s="7">
        <f>'TANK HARDWARE'!P130</f>
        <v>0</v>
      </c>
      <c r="L126" s="34" t="str">
        <f>'TANK HARDWARE'!D130</f>
        <v>SD-268</v>
      </c>
    </row>
    <row r="127" spans="2:12" x14ac:dyDescent="0.25">
      <c r="B127" s="3">
        <f t="shared" si="6"/>
        <v>1</v>
      </c>
      <c r="C127" s="3">
        <f t="shared" si="7"/>
        <v>6</v>
      </c>
      <c r="D127" s="170"/>
      <c r="E127" s="162"/>
      <c r="F127" s="31" t="str">
        <f>'TANK HARDWARE'!M131</f>
        <v>M12x50-HDG-8.8</v>
      </c>
      <c r="G127" s="113">
        <f>'TANK HARDWARE'!N131</f>
        <v>24</v>
      </c>
      <c r="H127" s="113">
        <f>'TANK HARDWARE'!O131</f>
        <v>24</v>
      </c>
      <c r="I127" s="113">
        <f>'TANK HARDWARE'!Q131</f>
        <v>48</v>
      </c>
      <c r="J127" s="7">
        <f>'TANK HARDWARE'!R131</f>
        <v>0</v>
      </c>
      <c r="K127" s="7">
        <f>'TANK HARDWARE'!P131</f>
        <v>0</v>
      </c>
      <c r="L127" s="34" t="str">
        <f>'TANK HARDWARE'!D131</f>
        <v>SD-268</v>
      </c>
    </row>
    <row r="128" spans="2:12" x14ac:dyDescent="0.25">
      <c r="B128" s="3">
        <f t="shared" si="6"/>
        <v>1</v>
      </c>
      <c r="C128" s="3">
        <f t="shared" si="7"/>
        <v>7</v>
      </c>
      <c r="D128" s="170"/>
      <c r="E128" s="162"/>
      <c r="F128" s="31" t="str">
        <f>'TANK HARDWARE'!M132</f>
        <v>M12-STUDx85-HDG-8.8</v>
      </c>
      <c r="G128" s="113">
        <f>'TANK HARDWARE'!N132</f>
        <v>0</v>
      </c>
      <c r="H128" s="113">
        <f>'TANK HARDWARE'!O132</f>
        <v>6</v>
      </c>
      <c r="I128" s="113">
        <f>'TANK HARDWARE'!Q132</f>
        <v>6</v>
      </c>
      <c r="J128" s="7">
        <f>'TANK HARDWARE'!R132</f>
        <v>0</v>
      </c>
      <c r="K128" s="7">
        <f>'TANK HARDWARE'!P132</f>
        <v>0</v>
      </c>
      <c r="L128" s="34" t="str">
        <f>'TANK HARDWARE'!D132</f>
        <v>SD-272</v>
      </c>
    </row>
    <row r="129" spans="2:12" x14ac:dyDescent="0.25">
      <c r="B129" s="3">
        <f t="shared" si="6"/>
        <v>1</v>
      </c>
      <c r="C129" s="3">
        <f t="shared" si="7"/>
        <v>8</v>
      </c>
      <c r="D129" s="170"/>
      <c r="E129" s="162"/>
      <c r="F129" s="31" t="str">
        <f>'TANK HARDWARE'!M133</f>
        <v>M12x75-HDG-8.8</v>
      </c>
      <c r="G129" s="113">
        <f>'TANK HARDWARE'!N133</f>
        <v>24</v>
      </c>
      <c r="H129" s="113">
        <f>'TANK HARDWARE'!O133</f>
        <v>24</v>
      </c>
      <c r="I129" s="113">
        <f>'TANK HARDWARE'!Q133</f>
        <v>48</v>
      </c>
      <c r="J129" s="7">
        <f>'TANK HARDWARE'!R133</f>
        <v>0</v>
      </c>
      <c r="K129" s="7">
        <f>'TANK HARDWARE'!P133</f>
        <v>0</v>
      </c>
      <c r="L129" s="34" t="str">
        <f>'TANK HARDWARE'!D133</f>
        <v>SD-268</v>
      </c>
    </row>
    <row r="130" spans="2:12" x14ac:dyDescent="0.25">
      <c r="B130" s="3">
        <f t="shared" si="6"/>
        <v>1</v>
      </c>
      <c r="C130" s="3">
        <f t="shared" si="7"/>
        <v>9</v>
      </c>
      <c r="D130" s="170"/>
      <c r="E130" s="162"/>
      <c r="F130" s="31" t="str">
        <f>'TANK HARDWARE'!M134</f>
        <v>M16x60-HDG-8.8</v>
      </c>
      <c r="G130" s="113">
        <f>'TANK HARDWARE'!N134</f>
        <v>4</v>
      </c>
      <c r="H130" s="113">
        <f>'TANK HARDWARE'!O134</f>
        <v>4</v>
      </c>
      <c r="I130" s="113">
        <f>'TANK HARDWARE'!Q134</f>
        <v>8</v>
      </c>
      <c r="J130" s="7">
        <f>'TANK HARDWARE'!R134</f>
        <v>0</v>
      </c>
      <c r="K130" s="7">
        <f>'TANK HARDWARE'!P134</f>
        <v>0</v>
      </c>
      <c r="L130" s="34" t="str">
        <f>'TANK HARDWARE'!D134</f>
        <v>SD-268</v>
      </c>
    </row>
    <row r="131" spans="2:12" x14ac:dyDescent="0.25">
      <c r="B131" s="3">
        <f t="shared" si="6"/>
        <v>1</v>
      </c>
      <c r="C131" s="3">
        <f t="shared" si="7"/>
        <v>10</v>
      </c>
      <c r="D131" s="177" t="str">
        <f>'TANK HARDWARE'!B135</f>
        <v>LV - U TURRET ASSEMBLY - WELDED (PSD-649)</v>
      </c>
      <c r="E131" s="169"/>
      <c r="F131" s="31" t="str">
        <f>'TANK HARDWARE'!M135</f>
        <v>M12x60-HDG-8.8</v>
      </c>
      <c r="G131" s="113">
        <f>'TANK HARDWARE'!N135</f>
        <v>24</v>
      </c>
      <c r="H131" s="113">
        <f>'TANK HARDWARE'!O135</f>
        <v>24</v>
      </c>
      <c r="I131" s="113">
        <f>'TANK HARDWARE'!Q135</f>
        <v>48</v>
      </c>
      <c r="J131" s="7">
        <f>'TANK HARDWARE'!R135</f>
        <v>0</v>
      </c>
      <c r="K131" s="7">
        <f>'TANK HARDWARE'!P135</f>
        <v>0</v>
      </c>
      <c r="L131" s="34" t="str">
        <f>'TANK HARDWARE'!D135</f>
        <v>SD-268</v>
      </c>
    </row>
    <row r="132" spans="2:12" x14ac:dyDescent="0.25">
      <c r="B132" s="3">
        <f t="shared" si="6"/>
        <v>1</v>
      </c>
      <c r="C132" s="3">
        <f t="shared" si="7"/>
        <v>11</v>
      </c>
      <c r="D132" s="170"/>
      <c r="E132" s="162"/>
      <c r="F132" s="31" t="str">
        <f>'TANK HARDWARE'!M136</f>
        <v>M12x50-HDG-8.8</v>
      </c>
      <c r="G132" s="113">
        <f>'TANK HARDWARE'!N136</f>
        <v>24</v>
      </c>
      <c r="H132" s="113">
        <f>'TANK HARDWARE'!O136</f>
        <v>24</v>
      </c>
      <c r="I132" s="113">
        <f>'TANK HARDWARE'!Q136</f>
        <v>48</v>
      </c>
      <c r="J132" s="7">
        <f>'TANK HARDWARE'!R136</f>
        <v>0</v>
      </c>
      <c r="K132" s="7">
        <f>'TANK HARDWARE'!P136</f>
        <v>0</v>
      </c>
      <c r="L132" s="34" t="str">
        <f>'TANK HARDWARE'!D136</f>
        <v>SD-268</v>
      </c>
    </row>
    <row r="133" spans="2:12" x14ac:dyDescent="0.25">
      <c r="B133" s="3">
        <f t="shared" si="6"/>
        <v>1</v>
      </c>
      <c r="C133" s="3">
        <f t="shared" si="7"/>
        <v>12</v>
      </c>
      <c r="D133" s="170"/>
      <c r="E133" s="162"/>
      <c r="F133" s="31" t="str">
        <f>'TANK HARDWARE'!M137</f>
        <v>M12-STUDx85-HDG-8.8</v>
      </c>
      <c r="G133" s="113">
        <f>'TANK HARDWARE'!N137</f>
        <v>0</v>
      </c>
      <c r="H133" s="113">
        <f>'TANK HARDWARE'!O137</f>
        <v>6</v>
      </c>
      <c r="I133" s="113">
        <f>'TANK HARDWARE'!Q137</f>
        <v>6</v>
      </c>
      <c r="J133" s="7">
        <f>'TANK HARDWARE'!R137</f>
        <v>0</v>
      </c>
      <c r="K133" s="7">
        <f>'TANK HARDWARE'!P137</f>
        <v>0</v>
      </c>
      <c r="L133" s="34" t="str">
        <f>'TANK HARDWARE'!D137</f>
        <v>SD-272</v>
      </c>
    </row>
    <row r="134" spans="2:12" x14ac:dyDescent="0.25">
      <c r="B134" s="3">
        <f t="shared" si="6"/>
        <v>1</v>
      </c>
      <c r="C134" s="3">
        <f t="shared" si="7"/>
        <v>13</v>
      </c>
      <c r="D134" s="171"/>
      <c r="E134" s="168"/>
      <c r="F134" s="31" t="str">
        <f>'TANK HARDWARE'!M138</f>
        <v>M16x60-HDG-8.8</v>
      </c>
      <c r="G134" s="113">
        <f>'TANK HARDWARE'!N138</f>
        <v>4</v>
      </c>
      <c r="H134" s="113">
        <f>'TANK HARDWARE'!O138</f>
        <v>4</v>
      </c>
      <c r="I134" s="113">
        <f>'TANK HARDWARE'!Q138</f>
        <v>8</v>
      </c>
      <c r="J134" s="7">
        <f>'TANK HARDWARE'!R138</f>
        <v>0</v>
      </c>
      <c r="K134" s="7">
        <f>'TANK HARDWARE'!P138</f>
        <v>0</v>
      </c>
      <c r="L134" s="34" t="str">
        <f>'TANK HARDWARE'!D138</f>
        <v>SD-268</v>
      </c>
    </row>
    <row r="135" spans="2:12" x14ac:dyDescent="0.25">
      <c r="B135" s="3">
        <f t="shared" si="6"/>
        <v>1</v>
      </c>
      <c r="C135" s="3">
        <f t="shared" si="7"/>
        <v>14</v>
      </c>
      <c r="D135" s="177" t="str">
        <f>'TANK HARDWARE'!B139</f>
        <v xml:space="preserve">LV - V&amp;W TURRET ASSEMBLY - SPLIT </v>
      </c>
      <c r="E135" s="169"/>
      <c r="F135" s="31" t="str">
        <f>'TANK HARDWARE'!M139</f>
        <v>M12x60-HDG-8.8</v>
      </c>
      <c r="G135" s="113">
        <f>'TANK HARDWARE'!N139</f>
        <v>48</v>
      </c>
      <c r="H135" s="113">
        <f>'TANK HARDWARE'!O139</f>
        <v>48</v>
      </c>
      <c r="I135" s="113">
        <f>'TANK HARDWARE'!Q139</f>
        <v>96</v>
      </c>
      <c r="J135" s="7">
        <f>'TANK HARDWARE'!R139</f>
        <v>0</v>
      </c>
      <c r="K135" s="7">
        <f>'TANK HARDWARE'!P139</f>
        <v>0</v>
      </c>
      <c r="L135" s="34" t="str">
        <f>'TANK HARDWARE'!D139</f>
        <v>SD-268</v>
      </c>
    </row>
    <row r="136" spans="2:12" x14ac:dyDescent="0.25">
      <c r="B136" s="3">
        <f t="shared" si="6"/>
        <v>1</v>
      </c>
      <c r="C136" s="3">
        <f t="shared" si="7"/>
        <v>15</v>
      </c>
      <c r="D136" s="170"/>
      <c r="E136" s="162"/>
      <c r="F136" s="31" t="str">
        <f>'TANK HARDWARE'!M140</f>
        <v>M12x50-HDG-8.8</v>
      </c>
      <c r="G136" s="113">
        <f>'TANK HARDWARE'!N140</f>
        <v>24</v>
      </c>
      <c r="H136" s="113">
        <f>'TANK HARDWARE'!O140</f>
        <v>24</v>
      </c>
      <c r="I136" s="113">
        <f>'TANK HARDWARE'!Q140</f>
        <v>48</v>
      </c>
      <c r="J136" s="7">
        <f>'TANK HARDWARE'!R140</f>
        <v>0</v>
      </c>
      <c r="K136" s="7">
        <f>'TANK HARDWARE'!P140</f>
        <v>0</v>
      </c>
      <c r="L136" s="34" t="str">
        <f>'TANK HARDWARE'!D140</f>
        <v>SD-268</v>
      </c>
    </row>
    <row r="137" spans="2:12" x14ac:dyDescent="0.25">
      <c r="B137" s="3">
        <f t="shared" si="6"/>
        <v>1</v>
      </c>
      <c r="C137" s="3">
        <f t="shared" si="7"/>
        <v>16</v>
      </c>
      <c r="D137" s="170"/>
      <c r="E137" s="162"/>
      <c r="F137" s="31" t="str">
        <f>'TANK HARDWARE'!M141</f>
        <v>M12-STUDx85-HDG-8.8</v>
      </c>
      <c r="G137" s="113">
        <f>'TANK HARDWARE'!N141</f>
        <v>0</v>
      </c>
      <c r="H137" s="113">
        <f>'TANK HARDWARE'!O141</f>
        <v>6</v>
      </c>
      <c r="I137" s="113">
        <f>'TANK HARDWARE'!Q141</f>
        <v>6</v>
      </c>
      <c r="J137" s="7">
        <f>'TANK HARDWARE'!R141</f>
        <v>0</v>
      </c>
      <c r="K137" s="7">
        <f>'TANK HARDWARE'!P141</f>
        <v>0</v>
      </c>
      <c r="L137" s="34" t="str">
        <f>'TANK HARDWARE'!D141</f>
        <v>SD-272</v>
      </c>
    </row>
    <row r="138" spans="2:12" x14ac:dyDescent="0.25">
      <c r="B138" s="3">
        <f t="shared" si="6"/>
        <v>1</v>
      </c>
      <c r="C138" s="3">
        <f t="shared" si="7"/>
        <v>17</v>
      </c>
      <c r="D138" s="170"/>
      <c r="E138" s="162"/>
      <c r="F138" s="31" t="str">
        <f>'TANK HARDWARE'!M142</f>
        <v>M12x75-HDG-8.8</v>
      </c>
      <c r="G138" s="113">
        <f>'TANK HARDWARE'!N142</f>
        <v>24</v>
      </c>
      <c r="H138" s="113">
        <f>'TANK HARDWARE'!O142</f>
        <v>24</v>
      </c>
      <c r="I138" s="113">
        <f>'TANK HARDWARE'!Q142</f>
        <v>48</v>
      </c>
      <c r="J138" s="7">
        <f>'TANK HARDWARE'!R142</f>
        <v>0</v>
      </c>
      <c r="K138" s="7">
        <f>'TANK HARDWARE'!P142</f>
        <v>0</v>
      </c>
      <c r="L138" s="34" t="str">
        <f>'TANK HARDWARE'!D142</f>
        <v>SD-268</v>
      </c>
    </row>
    <row r="139" spans="2:12" ht="15" customHeight="1" x14ac:dyDescent="0.25">
      <c r="B139" s="3">
        <f t="shared" si="6"/>
        <v>1</v>
      </c>
      <c r="C139" s="3">
        <f t="shared" si="7"/>
        <v>18</v>
      </c>
      <c r="D139" s="171"/>
      <c r="E139" s="168"/>
      <c r="F139" s="31" t="str">
        <f>'TANK HARDWARE'!M143</f>
        <v>M16x60-HDG-8.8</v>
      </c>
      <c r="G139" s="113">
        <f>'TANK HARDWARE'!N143</f>
        <v>4</v>
      </c>
      <c r="H139" s="113">
        <f>'TANK HARDWARE'!O143</f>
        <v>4</v>
      </c>
      <c r="I139" s="113">
        <f>'TANK HARDWARE'!Q143</f>
        <v>8</v>
      </c>
      <c r="J139" s="7">
        <f>'TANK HARDWARE'!R143</f>
        <v>0</v>
      </c>
      <c r="K139" s="7">
        <f>'TANK HARDWARE'!P143</f>
        <v>0</v>
      </c>
      <c r="L139" s="34" t="str">
        <f>'TANK HARDWARE'!D143</f>
        <v>SD-268</v>
      </c>
    </row>
    <row r="140" spans="2:12" x14ac:dyDescent="0.25">
      <c r="B140" s="3">
        <f t="shared" si="6"/>
        <v>1</v>
      </c>
      <c r="C140" s="3">
        <f t="shared" si="7"/>
        <v>19</v>
      </c>
      <c r="D140" s="201" t="str">
        <f>'TANK HARDWARE'!B144</f>
        <v>OLTC FLANGE (CTR/E-MR)</v>
      </c>
      <c r="E140" s="164"/>
      <c r="F140" s="7" t="str">
        <f>'TANK HARDWARE'!M144</f>
        <v>M12-STUDx80-HDG-8.8</v>
      </c>
      <c r="G140" s="113">
        <f>'TANK HARDWARE'!N144</f>
        <v>0</v>
      </c>
      <c r="H140" s="113">
        <f>'TANK HARDWARE'!O144</f>
        <v>24</v>
      </c>
      <c r="I140" s="113">
        <f>'TANK HARDWARE'!Q144</f>
        <v>24</v>
      </c>
      <c r="J140" s="7">
        <f>'TANK HARDWARE'!R144</f>
        <v>0</v>
      </c>
      <c r="K140" s="7">
        <f>'TANK HARDWARE'!P144</f>
        <v>0</v>
      </c>
      <c r="L140" s="34" t="str">
        <f>'TANK HARDWARE'!D144</f>
        <v>SD-272</v>
      </c>
    </row>
    <row r="141" spans="2:12" x14ac:dyDescent="0.25">
      <c r="B141" s="3">
        <f t="shared" si="6"/>
        <v>1</v>
      </c>
      <c r="C141" s="3">
        <f t="shared" si="7"/>
        <v>20</v>
      </c>
      <c r="D141" s="201" t="str">
        <f>'TANK HARDWARE'!B145</f>
        <v xml:space="preserve">BUFFER LOCKING </v>
      </c>
      <c r="E141" s="164"/>
      <c r="F141" s="7" t="str">
        <f>'TANK HARDWARE'!M145</f>
        <v>M12x50-HDG-8.8</v>
      </c>
      <c r="G141" s="113">
        <f>'TANK HARDWARE'!N145</f>
        <v>32</v>
      </c>
      <c r="H141" s="113">
        <f>'TANK HARDWARE'!O145</f>
        <v>32</v>
      </c>
      <c r="I141" s="113">
        <f>'TANK HARDWARE'!Q145</f>
        <v>64</v>
      </c>
      <c r="J141" s="7">
        <f>'TANK HARDWARE'!R145</f>
        <v>32</v>
      </c>
      <c r="K141" s="7">
        <f>'TANK HARDWARE'!P145</f>
        <v>0</v>
      </c>
      <c r="L141" s="34" t="str">
        <f>'TANK HARDWARE'!D145</f>
        <v>SD-268</v>
      </c>
    </row>
    <row r="142" spans="2:12" x14ac:dyDescent="0.25">
      <c r="B142" s="3">
        <f t="shared" si="6"/>
        <v>1</v>
      </c>
      <c r="C142" s="3">
        <f t="shared" si="7"/>
        <v>21</v>
      </c>
      <c r="D142" s="201" t="str">
        <f>'TANK HARDWARE'!B146</f>
        <v>CORE EARTHING (PSD-722)</v>
      </c>
      <c r="E142" s="164"/>
      <c r="F142" s="7" t="str">
        <f>'TANK HARDWARE'!M146</f>
        <v>M12x60-HDG-8.8</v>
      </c>
      <c r="G142" s="113">
        <f>'TANK HARDWARE'!N146</f>
        <v>0</v>
      </c>
      <c r="H142" s="113">
        <f>'TANK HARDWARE'!O146</f>
        <v>16</v>
      </c>
      <c r="I142" s="113">
        <f>'TANK HARDWARE'!Q146</f>
        <v>16</v>
      </c>
      <c r="J142" s="7">
        <f>'TANK HARDWARE'!R146</f>
        <v>0</v>
      </c>
      <c r="K142" s="7">
        <f>'TANK HARDWARE'!P146</f>
        <v>0</v>
      </c>
      <c r="L142" s="34" t="str">
        <f>'TANK HARDWARE'!D146</f>
        <v>SD-272</v>
      </c>
    </row>
    <row r="143" spans="2:12" x14ac:dyDescent="0.25">
      <c r="B143" s="3">
        <f t="shared" si="6"/>
        <v>1</v>
      </c>
      <c r="C143" s="3">
        <f t="shared" si="7"/>
        <v>22</v>
      </c>
      <c r="D143" s="201" t="str">
        <f>'TANK HARDWARE'!B147</f>
        <v>PRV MOUNTING ASSEMBLY (SD-54)</v>
      </c>
      <c r="E143" s="164"/>
      <c r="F143" s="7" t="str">
        <f>'TANK HARDWARE'!M147</f>
        <v>M12x60-HDG-8.8</v>
      </c>
      <c r="G143" s="113">
        <f>'TANK HARDWARE'!N147</f>
        <v>0</v>
      </c>
      <c r="H143" s="113">
        <f>'TANK HARDWARE'!O147</f>
        <v>6</v>
      </c>
      <c r="I143" s="113">
        <f>'TANK HARDWARE'!Q147</f>
        <v>6</v>
      </c>
      <c r="J143" s="7">
        <f>'TANK HARDWARE'!R147</f>
        <v>0</v>
      </c>
      <c r="K143" s="7">
        <f>'TANK HARDWARE'!P147</f>
        <v>0</v>
      </c>
      <c r="L143" s="34" t="str">
        <f>'TANK HARDWARE'!D147</f>
        <v>SD-272</v>
      </c>
    </row>
    <row r="144" spans="2:12" x14ac:dyDescent="0.25">
      <c r="B144" s="3">
        <f t="shared" si="6"/>
        <v>1</v>
      </c>
      <c r="C144" s="3">
        <f t="shared" si="7"/>
        <v>23</v>
      </c>
      <c r="D144" s="201" t="str">
        <f>'TANK HARDWARE'!B148</f>
        <v>SAFETY POLE ASSEMBLY</v>
      </c>
      <c r="E144" s="164"/>
      <c r="F144" s="7" t="str">
        <f>'TANK HARDWARE'!M148</f>
        <v>M16x50-HDG-8.8</v>
      </c>
      <c r="G144" s="113">
        <f>'TANK HARDWARE'!N148</f>
        <v>4</v>
      </c>
      <c r="H144" s="113">
        <f>'TANK HARDWARE'!O148</f>
        <v>4</v>
      </c>
      <c r="I144" s="113">
        <f>'TANK HARDWARE'!Q148</f>
        <v>8</v>
      </c>
      <c r="J144" s="7">
        <f>'TANK HARDWARE'!R148</f>
        <v>0</v>
      </c>
      <c r="K144" s="7">
        <f>'TANK HARDWARE'!P148</f>
        <v>0</v>
      </c>
      <c r="L144" s="34" t="str">
        <f>'TANK HARDWARE'!D148</f>
        <v>SD-269</v>
      </c>
    </row>
    <row r="145" spans="2:12" x14ac:dyDescent="0.25">
      <c r="B145" s="3">
        <f t="shared" si="6"/>
        <v>1</v>
      </c>
      <c r="C145" s="3">
        <f t="shared" si="7"/>
        <v>24</v>
      </c>
      <c r="D145" s="201" t="str">
        <f>'TANK HARDWARE'!B149</f>
        <v>FIRE DETECTOR MOUNTING SUPPORT(CTR)</v>
      </c>
      <c r="E145" s="164"/>
      <c r="F145" s="7" t="str">
        <f>'TANK HARDWARE'!M149</f>
        <v>M4x30-HDG-8.8</v>
      </c>
      <c r="G145" s="113">
        <f>'TANK HARDWARE'!N149</f>
        <v>4</v>
      </c>
      <c r="H145" s="113">
        <f>'TANK HARDWARE'!O149</f>
        <v>4</v>
      </c>
      <c r="I145" s="113">
        <f>'TANK HARDWARE'!Q149</f>
        <v>8</v>
      </c>
      <c r="J145" s="7">
        <f>'TANK HARDWARE'!R149</f>
        <v>0</v>
      </c>
      <c r="K145" s="7">
        <f>'TANK HARDWARE'!P149</f>
        <v>0</v>
      </c>
      <c r="L145" s="34" t="str">
        <f>'TANK HARDWARE'!D149</f>
        <v>SD-269</v>
      </c>
    </row>
    <row r="146" spans="2:12" x14ac:dyDescent="0.25">
      <c r="B146" s="3">
        <f t="shared" si="6"/>
        <v>1</v>
      </c>
      <c r="C146" s="3">
        <f t="shared" si="7"/>
        <v>25</v>
      </c>
      <c r="D146" s="201" t="str">
        <f>'TANK HARDWARE'!B150</f>
        <v xml:space="preserve">BUCHHOLZ RELAY PIPE &amp; FLANGE (80 NB) </v>
      </c>
      <c r="E146" s="164"/>
      <c r="F146" s="7" t="str">
        <f>'TANK HARDWARE'!M150</f>
        <v>M16x70-HDG-8.8</v>
      </c>
      <c r="G146" s="113">
        <f>'TANK HARDWARE'!N150</f>
        <v>8</v>
      </c>
      <c r="H146" s="113">
        <f>'TANK HARDWARE'!O150</f>
        <v>8</v>
      </c>
      <c r="I146" s="113">
        <f>'TANK HARDWARE'!Q150</f>
        <v>16</v>
      </c>
      <c r="J146" s="7">
        <f>'TANK HARDWARE'!R150</f>
        <v>0</v>
      </c>
      <c r="K146" s="7">
        <f>'TANK HARDWARE'!P150</f>
        <v>0</v>
      </c>
      <c r="L146" s="34" t="str">
        <f>'TANK HARDWARE'!D150</f>
        <v>SD-268</v>
      </c>
    </row>
    <row r="147" spans="2:12" x14ac:dyDescent="0.25">
      <c r="B147" s="3">
        <f t="shared" si="6"/>
        <v>1</v>
      </c>
      <c r="C147" s="3">
        <f t="shared" si="7"/>
        <v>26</v>
      </c>
      <c r="D147" s="201" t="str">
        <f>'TANK HARDWARE'!B151</f>
        <v>SPRD MOUNTING ASSEMBLY</v>
      </c>
      <c r="E147" s="164"/>
      <c r="F147" s="7" t="str">
        <f>'TANK HARDWARE'!M151</f>
        <v>M12-STUDx70-HDG-8.8</v>
      </c>
      <c r="G147" s="113">
        <f>'TANK HARDWARE'!N151</f>
        <v>0</v>
      </c>
      <c r="H147" s="91">
        <f>'TANK HARDWARE'!O151</f>
        <v>4</v>
      </c>
      <c r="I147" s="113">
        <f>'TANK HARDWARE'!Q151</f>
        <v>4</v>
      </c>
      <c r="J147" s="7">
        <f>'TANK HARDWARE'!R151</f>
        <v>0</v>
      </c>
      <c r="K147" s="7">
        <f>'TANK HARDWARE'!P151</f>
        <v>0</v>
      </c>
      <c r="L147" s="34" t="str">
        <f>'TANK HARDWARE'!D151</f>
        <v>SD-272</v>
      </c>
    </row>
    <row r="148" spans="2:12" x14ac:dyDescent="0.25">
      <c r="B148" s="3">
        <f t="shared" si="6"/>
        <v>1</v>
      </c>
      <c r="C148" s="3">
        <f t="shared" si="7"/>
        <v>27</v>
      </c>
      <c r="D148" s="201" t="str">
        <f>'TANK HARDWARE'!B152</f>
        <v>SPL. INSPECTION COVER 1 (PSD-686)</v>
      </c>
      <c r="E148" s="164"/>
      <c r="F148" s="7" t="str">
        <f>'TANK HARDWARE'!M152</f>
        <v>M12-STUDx60-HDG-8.8</v>
      </c>
      <c r="G148" s="113">
        <f>'TANK HARDWARE'!N152</f>
        <v>0</v>
      </c>
      <c r="H148" s="91">
        <f>'TANK HARDWARE'!O152</f>
        <v>26</v>
      </c>
      <c r="I148" s="113">
        <f>'TANK HARDWARE'!Q152</f>
        <v>26</v>
      </c>
      <c r="J148" s="7">
        <f>'TANK HARDWARE'!R152</f>
        <v>0</v>
      </c>
      <c r="K148" s="7">
        <f>'TANK HARDWARE'!P152</f>
        <v>0</v>
      </c>
      <c r="L148" s="34" t="str">
        <f>'TANK HARDWARE'!D152</f>
        <v>SD-272</v>
      </c>
    </row>
    <row r="149" spans="2:12" x14ac:dyDescent="0.25">
      <c r="B149" s="3">
        <f t="shared" si="6"/>
        <v>1</v>
      </c>
      <c r="C149" s="3">
        <f t="shared" si="7"/>
        <v>28</v>
      </c>
      <c r="D149" s="201" t="str">
        <f>'TANK HARDWARE'!B153</f>
        <v>SPL. INSPECTION COVER 2 (PSD-686)</v>
      </c>
      <c r="E149" s="164"/>
      <c r="F149" s="7" t="str">
        <f>'TANK HARDWARE'!M153</f>
        <v>M12-STUDx60-HDG-8.8</v>
      </c>
      <c r="G149" s="113">
        <f>'TANK HARDWARE'!N153</f>
        <v>0</v>
      </c>
      <c r="H149" s="91">
        <f>'TANK HARDWARE'!O153</f>
        <v>38</v>
      </c>
      <c r="I149" s="113">
        <f>'TANK HARDWARE'!Q153</f>
        <v>38</v>
      </c>
      <c r="J149" s="7">
        <f>'TANK HARDWARE'!R153</f>
        <v>0</v>
      </c>
      <c r="K149" s="7">
        <f>'TANK HARDWARE'!P153</f>
        <v>0</v>
      </c>
      <c r="L149" s="34" t="str">
        <f>'TANK HARDWARE'!D153</f>
        <v>SD-272</v>
      </c>
    </row>
    <row r="150" spans="2:12" x14ac:dyDescent="0.25">
      <c r="D150" s="201"/>
      <c r="E150" s="164"/>
      <c r="F150" s="7"/>
      <c r="G150" s="113"/>
      <c r="H150" s="113"/>
      <c r="I150" s="113"/>
      <c r="J150" s="7"/>
      <c r="K150" s="7"/>
      <c r="L150" s="34"/>
    </row>
    <row r="151" spans="2:12" s="21" customFormat="1" x14ac:dyDescent="0.25">
      <c r="B151" s="3" t="s">
        <v>56</v>
      </c>
      <c r="C151" s="3"/>
      <c r="D151" s="202" t="str">
        <f>'TANK HARDWARE'!B155</f>
        <v>HV TRUNK / HV DC / HV CABLE BOX / HV BUSDUCT (T-10 / T-11 / T-19 / T-60)</v>
      </c>
      <c r="E151" s="165"/>
      <c r="F151" s="165"/>
      <c r="G151" s="165"/>
      <c r="H151" s="165"/>
      <c r="I151" s="165"/>
      <c r="J151" s="165"/>
      <c r="K151" s="165"/>
      <c r="L151" s="164"/>
    </row>
    <row r="152" spans="2:12" x14ac:dyDescent="0.25">
      <c r="B152" s="3">
        <f t="shared" ref="B152:B166" si="8">IF(G152=0,0,1)</f>
        <v>0</v>
      </c>
      <c r="C152" s="3">
        <f>B152+B149</f>
        <v>1</v>
      </c>
      <c r="D152" s="201" t="str">
        <f>'TANK HARDWARE'!B156</f>
        <v xml:space="preserve">DC INSPECTION COVER </v>
      </c>
      <c r="E152" s="164"/>
      <c r="F152" s="7" t="str">
        <f>'TANK HARDWARE'!M156</f>
        <v>M12-STUDx60-HDG-8.8</v>
      </c>
      <c r="G152" s="113">
        <f>'TANK HARDWARE'!N156</f>
        <v>0</v>
      </c>
      <c r="H152" s="113">
        <f>'TANK HARDWARE'!O156</f>
        <v>28</v>
      </c>
      <c r="I152" s="113">
        <f>'TANK HARDWARE'!Q156</f>
        <v>28</v>
      </c>
      <c r="J152" s="7">
        <f>'TANK HARDWARE'!R156</f>
        <v>28</v>
      </c>
      <c r="K152" s="7">
        <f>'TANK HARDWARE'!P156</f>
        <v>0</v>
      </c>
      <c r="L152" s="34" t="str">
        <f>'TANK HARDWARE'!D156</f>
        <v>PSD-686</v>
      </c>
    </row>
    <row r="153" spans="2:12" x14ac:dyDescent="0.25">
      <c r="B153" s="3">
        <f t="shared" si="8"/>
        <v>1</v>
      </c>
      <c r="C153" s="3">
        <f t="shared" ref="C153:C166" si="9">B153+C152</f>
        <v>2</v>
      </c>
      <c r="D153" s="201" t="str">
        <f>'TANK HARDWARE'!B157</f>
        <v>TRUNK TO DC CONNECTION</v>
      </c>
      <c r="E153" s="164"/>
      <c r="F153" s="7" t="str">
        <f>'TANK HARDWARE'!M157</f>
        <v>M12x60-HDG-8.8</v>
      </c>
      <c r="G153" s="113">
        <f>'TANK HARDWARE'!N157</f>
        <v>90</v>
      </c>
      <c r="H153" s="113">
        <f>'TANK HARDWARE'!O157</f>
        <v>90</v>
      </c>
      <c r="I153" s="113">
        <f>'TANK HARDWARE'!Q157</f>
        <v>180</v>
      </c>
      <c r="J153" s="7">
        <f>'TANK HARDWARE'!R157</f>
        <v>90</v>
      </c>
      <c r="K153" s="7">
        <f>'TANK HARDWARE'!P157</f>
        <v>0</v>
      </c>
      <c r="L153" s="34" t="str">
        <f>'TANK HARDWARE'!D157</f>
        <v>SD-269</v>
      </c>
    </row>
    <row r="154" spans="2:12" x14ac:dyDescent="0.25">
      <c r="B154" s="3">
        <f t="shared" si="8"/>
        <v>1</v>
      </c>
      <c r="C154" s="3">
        <f t="shared" si="9"/>
        <v>3</v>
      </c>
      <c r="D154" s="201" t="str">
        <f>'TANK HARDWARE'!B158</f>
        <v>DC TO CABLE BOX CONNECTION</v>
      </c>
      <c r="E154" s="164"/>
      <c r="F154" s="7" t="str">
        <f>'TANK HARDWARE'!M158</f>
        <v>M12x60-HDG-8.8</v>
      </c>
      <c r="G154" s="113">
        <f>'TANK HARDWARE'!N158</f>
        <v>90</v>
      </c>
      <c r="H154" s="113">
        <f>'TANK HARDWARE'!O158</f>
        <v>90</v>
      </c>
      <c r="I154" s="113">
        <f>'TANK HARDWARE'!Q158</f>
        <v>180</v>
      </c>
      <c r="J154" s="7">
        <f>'TANK HARDWARE'!R158</f>
        <v>90</v>
      </c>
      <c r="K154" s="7">
        <f>'TANK HARDWARE'!P158</f>
        <v>0</v>
      </c>
      <c r="L154" s="34" t="str">
        <f>'TANK HARDWARE'!D158</f>
        <v>SD-269</v>
      </c>
    </row>
    <row r="155" spans="2:12" x14ac:dyDescent="0.25">
      <c r="B155" s="3">
        <f t="shared" si="8"/>
        <v>1</v>
      </c>
      <c r="C155" s="3">
        <f t="shared" si="9"/>
        <v>4</v>
      </c>
      <c r="D155" s="201" t="str">
        <f>'TANK HARDWARE'!B159</f>
        <v>TANK TO TRUNK CONNECTION</v>
      </c>
      <c r="E155" s="164"/>
      <c r="F155" s="7" t="str">
        <f>'TANK HARDWARE'!M159</f>
        <v>M12x60-HDG-8.8</v>
      </c>
      <c r="G155" s="113">
        <f>'TANK HARDWARE'!N159</f>
        <v>90</v>
      </c>
      <c r="H155" s="113">
        <f>'TANK HARDWARE'!O159</f>
        <v>90</v>
      </c>
      <c r="I155" s="113">
        <f>'TANK HARDWARE'!Q159</f>
        <v>180</v>
      </c>
      <c r="J155" s="7">
        <f>'TANK HARDWARE'!R159</f>
        <v>90</v>
      </c>
      <c r="K155" s="7">
        <f>'TANK HARDWARE'!P159</f>
        <v>0</v>
      </c>
      <c r="L155" s="34" t="str">
        <f>'TANK HARDWARE'!D159</f>
        <v>SD-269</v>
      </c>
    </row>
    <row r="156" spans="2:12" x14ac:dyDescent="0.25">
      <c r="B156" s="3">
        <f t="shared" si="8"/>
        <v>0</v>
      </c>
      <c r="C156" s="3">
        <f t="shared" si="9"/>
        <v>4</v>
      </c>
      <c r="D156" s="201" t="str">
        <f>'TANK HARDWARE'!B160</f>
        <v xml:space="preserve">TRUNK INSPECTION COVER </v>
      </c>
      <c r="E156" s="164"/>
      <c r="F156" s="7" t="str">
        <f>'TANK HARDWARE'!M160</f>
        <v>M12-STUDx60-HDG-8.8</v>
      </c>
      <c r="G156" s="113">
        <f>'TANK HARDWARE'!N160</f>
        <v>0</v>
      </c>
      <c r="H156" s="113">
        <f>'TANK HARDWARE'!O160</f>
        <v>28</v>
      </c>
      <c r="I156" s="113">
        <f>'TANK HARDWARE'!Q160</f>
        <v>28</v>
      </c>
      <c r="J156" s="7">
        <f>'TANK HARDWARE'!R160</f>
        <v>28</v>
      </c>
      <c r="K156" s="7">
        <f>'TANK HARDWARE'!P160</f>
        <v>0</v>
      </c>
      <c r="L156" s="34" t="str">
        <f>'TANK HARDWARE'!D160</f>
        <v>PSD-686</v>
      </c>
    </row>
    <row r="157" spans="2:12" x14ac:dyDescent="0.25">
      <c r="B157" s="3">
        <f t="shared" si="8"/>
        <v>1</v>
      </c>
      <c r="C157" s="3">
        <f t="shared" si="9"/>
        <v>5</v>
      </c>
      <c r="D157" s="201" t="str">
        <f>'TANK HARDWARE'!B161</f>
        <v>TRUNK CT TERMINAL BOX</v>
      </c>
      <c r="E157" s="164"/>
      <c r="F157" s="7" t="str">
        <f>'TANK HARDWARE'!M161</f>
        <v>M16x60-HDG-8.8</v>
      </c>
      <c r="G157" s="113">
        <f>'TANK HARDWARE'!N161</f>
        <v>12</v>
      </c>
      <c r="H157" s="113">
        <f>'TANK HARDWARE'!O161</f>
        <v>12</v>
      </c>
      <c r="I157" s="113">
        <f>'TANK HARDWARE'!Q161</f>
        <v>24</v>
      </c>
      <c r="J157" s="7">
        <f>'TANK HARDWARE'!R161</f>
        <v>0</v>
      </c>
      <c r="K157" s="7">
        <f>'TANK HARDWARE'!P161</f>
        <v>0</v>
      </c>
      <c r="L157" s="34" t="str">
        <f>'TANK HARDWARE'!D161</f>
        <v>SD-268</v>
      </c>
    </row>
    <row r="158" spans="2:12" x14ac:dyDescent="0.25">
      <c r="B158" s="3">
        <f t="shared" si="8"/>
        <v>1</v>
      </c>
      <c r="C158" s="3">
        <f t="shared" si="9"/>
        <v>6</v>
      </c>
      <c r="D158" s="201" t="str">
        <f>'TANK HARDWARE'!B162</f>
        <v>PAD FLANGE FOR GLAND PLATE (CABLE BOX)</v>
      </c>
      <c r="E158" s="164"/>
      <c r="F158" s="7" t="str">
        <f>'TANK HARDWARE'!M162</f>
        <v>M12x50-HDG-8.8</v>
      </c>
      <c r="G158" s="113">
        <f>'TANK HARDWARE'!N162</f>
        <v>1</v>
      </c>
      <c r="H158" s="113">
        <f>'TANK HARDWARE'!O162</f>
        <v>1</v>
      </c>
      <c r="I158" s="113">
        <f>'TANK HARDWARE'!Q162</f>
        <v>2</v>
      </c>
      <c r="J158" s="7">
        <f>'TANK HARDWARE'!R162</f>
        <v>0</v>
      </c>
      <c r="K158" s="7">
        <f>'TANK HARDWARE'!P162</f>
        <v>0</v>
      </c>
      <c r="L158" s="34" t="str">
        <f>'TANK HARDWARE'!D162</f>
        <v>SD-268</v>
      </c>
    </row>
    <row r="159" spans="2:12" x14ac:dyDescent="0.25">
      <c r="B159" s="3">
        <f t="shared" si="8"/>
        <v>1</v>
      </c>
      <c r="C159" s="3">
        <f t="shared" si="9"/>
        <v>7</v>
      </c>
      <c r="D159" s="201" t="str">
        <f>'TANK HARDWARE'!B163</f>
        <v>CABLE BOX SUPPORT ASSEMBLY</v>
      </c>
      <c r="E159" s="164"/>
      <c r="F159" s="7" t="str">
        <f>'TANK HARDWARE'!M163</f>
        <v>M16x60-HDG-8.8</v>
      </c>
      <c r="G159" s="113">
        <f>'TANK HARDWARE'!N163</f>
        <v>8</v>
      </c>
      <c r="H159" s="113">
        <f>'TANK HARDWARE'!O163</f>
        <v>8</v>
      </c>
      <c r="I159" s="113">
        <f>'TANK HARDWARE'!Q163</f>
        <v>16</v>
      </c>
      <c r="J159" s="7">
        <f>'TANK HARDWARE'!R163</f>
        <v>0</v>
      </c>
      <c r="K159" s="7">
        <f>'TANK HARDWARE'!P163</f>
        <v>0</v>
      </c>
      <c r="L159" s="34" t="str">
        <f>'TANK HARDWARE'!D163</f>
        <v>SD-268</v>
      </c>
    </row>
    <row r="160" spans="2:12" x14ac:dyDescent="0.25">
      <c r="B160" s="3">
        <f t="shared" si="8"/>
        <v>1</v>
      </c>
      <c r="C160" s="3">
        <f t="shared" si="9"/>
        <v>8</v>
      </c>
      <c r="D160" s="201" t="str">
        <f>'TANK HARDWARE'!B164</f>
        <v>C/BOX SUPPORT CONNECTING CHANNEL</v>
      </c>
      <c r="E160" s="164"/>
      <c r="F160" s="7" t="str">
        <f>'TANK HARDWARE'!M164</f>
        <v>M16x50-HDG-8.8</v>
      </c>
      <c r="G160" s="113">
        <f>'TANK HARDWARE'!N164</f>
        <v>2</v>
      </c>
      <c r="H160" s="113">
        <f>'TANK HARDWARE'!O164</f>
        <v>2</v>
      </c>
      <c r="I160" s="113">
        <f>'TANK HARDWARE'!Q164</f>
        <v>4</v>
      </c>
      <c r="J160" s="7">
        <f>'TANK HARDWARE'!R164</f>
        <v>0</v>
      </c>
      <c r="K160" s="7">
        <f>'TANK HARDWARE'!P164</f>
        <v>0</v>
      </c>
      <c r="L160" s="34" t="str">
        <f>'TANK HARDWARE'!D164</f>
        <v>SD-268</v>
      </c>
    </row>
    <row r="161" spans="2:12" x14ac:dyDescent="0.25">
      <c r="B161" s="3">
        <f t="shared" si="8"/>
        <v>1</v>
      </c>
      <c r="C161" s="3">
        <f t="shared" si="9"/>
        <v>9</v>
      </c>
      <c r="D161" s="201" t="str">
        <f>'TANK HARDWARE'!B165</f>
        <v>ANGLE FOR FRONT INSPECTION COVER(CABLE BOX)</v>
      </c>
      <c r="E161" s="164"/>
      <c r="F161" s="7" t="str">
        <f>'TANK HARDWARE'!M165</f>
        <v>M12x40-HDG-8.8</v>
      </c>
      <c r="G161" s="113">
        <f>'TANK HARDWARE'!N165</f>
        <v>50</v>
      </c>
      <c r="H161" s="113">
        <f>'TANK HARDWARE'!O165</f>
        <v>50</v>
      </c>
      <c r="I161" s="113">
        <f>'TANK HARDWARE'!Q165</f>
        <v>100</v>
      </c>
      <c r="J161" s="7">
        <f>'TANK HARDWARE'!R165</f>
        <v>0</v>
      </c>
      <c r="K161" s="7">
        <f>'TANK HARDWARE'!P165</f>
        <v>1</v>
      </c>
      <c r="L161" s="34" t="str">
        <f>'TANK HARDWARE'!D165</f>
        <v>SD-268</v>
      </c>
    </row>
    <row r="162" spans="2:12" x14ac:dyDescent="0.25">
      <c r="B162" s="3">
        <f t="shared" si="8"/>
        <v>1</v>
      </c>
      <c r="C162" s="3">
        <f t="shared" si="9"/>
        <v>10</v>
      </c>
      <c r="D162" s="201" t="str">
        <f>'TANK HARDWARE'!B166</f>
        <v>CU FLAT &amp; JUMPER</v>
      </c>
      <c r="E162" s="164"/>
      <c r="F162" s="7" t="str">
        <f>'TANK HARDWARE'!M166</f>
        <v>M12x50-HDG-8.8</v>
      </c>
      <c r="G162" s="113">
        <f>'TANK HARDWARE'!N166</f>
        <v>1</v>
      </c>
      <c r="H162" s="113">
        <f>'TANK HARDWARE'!O166</f>
        <v>1</v>
      </c>
      <c r="I162" s="113">
        <f>'TANK HARDWARE'!Q166</f>
        <v>2</v>
      </c>
      <c r="J162" s="7">
        <f>'TANK HARDWARE'!R166</f>
        <v>0</v>
      </c>
      <c r="K162" s="7">
        <f>'TANK HARDWARE'!P166</f>
        <v>0</v>
      </c>
      <c r="L162" s="34" t="str">
        <f>'TANK HARDWARE'!D166</f>
        <v>SD-269</v>
      </c>
    </row>
    <row r="163" spans="2:12" x14ac:dyDescent="0.25">
      <c r="B163" s="3">
        <f t="shared" si="8"/>
        <v>1</v>
      </c>
      <c r="C163" s="3">
        <f t="shared" si="9"/>
        <v>11</v>
      </c>
      <c r="D163" s="201" t="str">
        <f>'TANK HARDWARE'!B167</f>
        <v>INSULATOR TO  CABLE BOX</v>
      </c>
      <c r="E163" s="164"/>
      <c r="F163" s="7" t="str">
        <f>'TANK HARDWARE'!M167</f>
        <v>M20x50-HDG-8.8</v>
      </c>
      <c r="G163" s="113">
        <f>'TANK HARDWARE'!N167</f>
        <v>1</v>
      </c>
      <c r="H163" s="113">
        <f>'TANK HARDWARE'!O167</f>
        <v>1</v>
      </c>
      <c r="I163" s="113">
        <f>'TANK HARDWARE'!Q167</f>
        <v>2</v>
      </c>
      <c r="J163" s="7">
        <f>'TANK HARDWARE'!R167</f>
        <v>0</v>
      </c>
      <c r="K163" s="7">
        <f>'TANK HARDWARE'!P167</f>
        <v>0</v>
      </c>
      <c r="L163" s="34" t="str">
        <f>'TANK HARDWARE'!D167</f>
        <v>SD-269</v>
      </c>
    </row>
    <row r="164" spans="2:12" x14ac:dyDescent="0.25">
      <c r="B164" s="3">
        <f t="shared" si="8"/>
        <v>1</v>
      </c>
      <c r="C164" s="3">
        <f t="shared" si="9"/>
        <v>12</v>
      </c>
      <c r="D164" s="201" t="str">
        <f>'TANK HARDWARE'!B168</f>
        <v>GI FLAT TO INSULATOR</v>
      </c>
      <c r="E164" s="164"/>
      <c r="F164" s="7" t="str">
        <f>'TANK HARDWARE'!M168</f>
        <v>M12x50-HDG-8.8</v>
      </c>
      <c r="G164" s="113">
        <f>'TANK HARDWARE'!N168</f>
        <v>1</v>
      </c>
      <c r="H164" s="113">
        <f>'TANK HARDWARE'!O168</f>
        <v>1</v>
      </c>
      <c r="I164" s="113">
        <f>'TANK HARDWARE'!Q168</f>
        <v>2</v>
      </c>
      <c r="J164" s="7">
        <f>'TANK HARDWARE'!R168</f>
        <v>0</v>
      </c>
      <c r="K164" s="7">
        <f>'TANK HARDWARE'!P168</f>
        <v>0</v>
      </c>
      <c r="L164" s="34" t="str">
        <f>'TANK HARDWARE'!D168</f>
        <v>SD-269</v>
      </c>
    </row>
    <row r="165" spans="2:12" x14ac:dyDescent="0.25">
      <c r="B165" s="3">
        <f t="shared" si="8"/>
        <v>1</v>
      </c>
      <c r="C165" s="3">
        <f t="shared" si="9"/>
        <v>13</v>
      </c>
      <c r="D165" s="201" t="str">
        <f>'TANK HARDWARE'!B169</f>
        <v>CU FLAT TO GI FLAT</v>
      </c>
      <c r="E165" s="164"/>
      <c r="F165" s="7" t="str">
        <f>'TANK HARDWARE'!M169</f>
        <v>M16x50-HDG-8.8</v>
      </c>
      <c r="G165" s="113">
        <f>'TANK HARDWARE'!N169</f>
        <v>1</v>
      </c>
      <c r="H165" s="113">
        <f>'TANK HARDWARE'!O169</f>
        <v>1</v>
      </c>
      <c r="I165" s="113">
        <f>'TANK HARDWARE'!Q169</f>
        <v>2</v>
      </c>
      <c r="J165" s="7">
        <f>'TANK HARDWARE'!R169</f>
        <v>0</v>
      </c>
      <c r="K165" s="7">
        <f>'TANK HARDWARE'!P169</f>
        <v>0</v>
      </c>
      <c r="L165" s="34" t="str">
        <f>'TANK HARDWARE'!D169</f>
        <v>SD-269</v>
      </c>
    </row>
    <row r="166" spans="2:12" x14ac:dyDescent="0.25">
      <c r="B166" s="3">
        <f t="shared" si="8"/>
        <v>1</v>
      </c>
      <c r="C166" s="3">
        <f t="shared" si="9"/>
        <v>14</v>
      </c>
      <c r="D166" s="201" t="str">
        <f>'TANK HARDWARE'!B170</f>
        <v>EARTHING BOSS</v>
      </c>
      <c r="E166" s="164"/>
      <c r="F166" s="7" t="str">
        <f>'TANK HARDWARE'!M170</f>
        <v>M16x50-HDG-8.8</v>
      </c>
      <c r="G166" s="113">
        <f>'TANK HARDWARE'!N170</f>
        <v>1</v>
      </c>
      <c r="H166" s="113">
        <f>'TANK HARDWARE'!O170</f>
        <v>1</v>
      </c>
      <c r="I166" s="113">
        <f>'TANK HARDWARE'!Q170</f>
        <v>2</v>
      </c>
      <c r="J166" s="7">
        <f>'TANK HARDWARE'!R170</f>
        <v>0</v>
      </c>
      <c r="K166" s="7">
        <f>'TANK HARDWARE'!P170</f>
        <v>0</v>
      </c>
      <c r="L166" s="34" t="str">
        <f>'TANK HARDWARE'!D170</f>
        <v>SD-269</v>
      </c>
    </row>
    <row r="167" spans="2:12" x14ac:dyDescent="0.25">
      <c r="B167" s="3" t="s">
        <v>56</v>
      </c>
      <c r="D167" s="201"/>
      <c r="E167" s="164"/>
      <c r="F167" s="7"/>
      <c r="G167" s="113"/>
      <c r="H167" s="113"/>
      <c r="I167" s="113"/>
      <c r="J167" s="7"/>
      <c r="K167" s="7"/>
      <c r="L167" s="34"/>
    </row>
    <row r="168" spans="2:12" x14ac:dyDescent="0.25">
      <c r="B168" s="3" t="s">
        <v>56</v>
      </c>
      <c r="D168" s="143" t="str">
        <f>'TANK HARDWARE'!B172</f>
        <v>LV TRUNK / LV DC / LV CABLE BOX / LV BUSDUCT (T-08 / T-09 / T-18 / T-59)</v>
      </c>
      <c r="E168" s="144"/>
      <c r="F168" s="144"/>
      <c r="G168" s="144"/>
      <c r="H168" s="144"/>
      <c r="I168" s="144"/>
      <c r="J168" s="144"/>
      <c r="K168" s="144"/>
      <c r="L168" s="145"/>
    </row>
    <row r="169" spans="2:12" x14ac:dyDescent="0.25">
      <c r="B169" s="3">
        <f>IF(G169=0,0,1)</f>
        <v>0</v>
      </c>
      <c r="C169" s="3">
        <f>B169+B166</f>
        <v>1</v>
      </c>
      <c r="D169" s="201" t="str">
        <f>'TANK HARDWARE'!B173</f>
        <v xml:space="preserve">DC INSPECTION COVER </v>
      </c>
      <c r="E169" s="164"/>
      <c r="F169" s="7" t="str">
        <f>'TANK HARDWARE'!M173</f>
        <v>M12-STUDx60-HDG-8.8</v>
      </c>
      <c r="G169" s="113">
        <f>'TANK HARDWARE'!N173</f>
        <v>0</v>
      </c>
      <c r="H169" s="113">
        <f>'TANK HARDWARE'!O173</f>
        <v>28</v>
      </c>
      <c r="I169" s="113">
        <f>'TANK HARDWARE'!Q173</f>
        <v>28</v>
      </c>
      <c r="J169" s="7">
        <f>'TANK HARDWARE'!R173</f>
        <v>28</v>
      </c>
      <c r="K169" s="7">
        <f>'TANK HARDWARE'!P173</f>
        <v>0</v>
      </c>
      <c r="L169" s="34" t="str">
        <f>'TANK HARDWARE'!D173</f>
        <v>PSD-686</v>
      </c>
    </row>
    <row r="170" spans="2:12" x14ac:dyDescent="0.25">
      <c r="B170" s="3">
        <v>1</v>
      </c>
      <c r="C170" s="3">
        <f t="shared" ref="C170:C183" si="10">B170+C169</f>
        <v>2</v>
      </c>
      <c r="D170" s="201" t="str">
        <f>'TANK HARDWARE'!B174</f>
        <v>TRUNK TO DC CONNECTION</v>
      </c>
      <c r="E170" s="164"/>
      <c r="F170" s="7" t="str">
        <f>'TANK HARDWARE'!M174</f>
        <v>M12x60-HDG-8.8</v>
      </c>
      <c r="G170" s="113">
        <f>'TANK HARDWARE'!N174</f>
        <v>90</v>
      </c>
      <c r="H170" s="113">
        <f>'TANK HARDWARE'!O174</f>
        <v>90</v>
      </c>
      <c r="I170" s="113">
        <f>'TANK HARDWARE'!Q174</f>
        <v>180</v>
      </c>
      <c r="J170" s="7">
        <f>'TANK HARDWARE'!R174</f>
        <v>90</v>
      </c>
      <c r="K170" s="7">
        <f>'TANK HARDWARE'!P174</f>
        <v>0</v>
      </c>
      <c r="L170" s="34" t="str">
        <f>'TANK HARDWARE'!D174</f>
        <v>SD-269</v>
      </c>
    </row>
    <row r="171" spans="2:12" x14ac:dyDescent="0.25">
      <c r="B171" s="3">
        <v>1</v>
      </c>
      <c r="C171" s="3">
        <f t="shared" si="10"/>
        <v>3</v>
      </c>
      <c r="D171" s="201" t="str">
        <f>'TANK HARDWARE'!B175</f>
        <v>DC TO CABLE BOX CONNECTION</v>
      </c>
      <c r="E171" s="164"/>
      <c r="F171" s="7" t="str">
        <f>'TANK HARDWARE'!M175</f>
        <v>M12x60-HDG-8.8</v>
      </c>
      <c r="G171" s="113">
        <f>'TANK HARDWARE'!N175</f>
        <v>90</v>
      </c>
      <c r="H171" s="113">
        <f>'TANK HARDWARE'!O175</f>
        <v>90</v>
      </c>
      <c r="I171" s="113">
        <f>'TANK HARDWARE'!Q175</f>
        <v>180</v>
      </c>
      <c r="J171" s="7">
        <f>'TANK HARDWARE'!R175</f>
        <v>90</v>
      </c>
      <c r="K171" s="7">
        <f>'TANK HARDWARE'!P175</f>
        <v>0</v>
      </c>
      <c r="L171" s="34" t="str">
        <f>'TANK HARDWARE'!D175</f>
        <v>SD-269</v>
      </c>
    </row>
    <row r="172" spans="2:12" x14ac:dyDescent="0.25">
      <c r="B172" s="3">
        <v>1</v>
      </c>
      <c r="C172" s="3">
        <f t="shared" si="10"/>
        <v>4</v>
      </c>
      <c r="D172" s="201" t="str">
        <f>'TANK HARDWARE'!B176</f>
        <v>TANK TO TRUNK CONNECTION</v>
      </c>
      <c r="E172" s="164"/>
      <c r="F172" s="7" t="str">
        <f>'TANK HARDWARE'!M176</f>
        <v>M12x60-HDG-8.8</v>
      </c>
      <c r="G172" s="113">
        <f>'TANK HARDWARE'!N176</f>
        <v>90</v>
      </c>
      <c r="H172" s="113">
        <f>'TANK HARDWARE'!O176</f>
        <v>90</v>
      </c>
      <c r="I172" s="113">
        <f>'TANK HARDWARE'!Q176</f>
        <v>180</v>
      </c>
      <c r="J172" s="7">
        <f>'TANK HARDWARE'!R176</f>
        <v>90</v>
      </c>
      <c r="K172" s="7">
        <f>'TANK HARDWARE'!P176</f>
        <v>0</v>
      </c>
      <c r="L172" s="34" t="str">
        <f>'TANK HARDWARE'!D176</f>
        <v>SD-269</v>
      </c>
    </row>
    <row r="173" spans="2:12" x14ac:dyDescent="0.25">
      <c r="B173" s="3">
        <v>1</v>
      </c>
      <c r="C173" s="3">
        <f t="shared" si="10"/>
        <v>5</v>
      </c>
      <c r="D173" s="201" t="str">
        <f>'TANK HARDWARE'!B177</f>
        <v xml:space="preserve">TRUNK INSPECTION COVER </v>
      </c>
      <c r="E173" s="164"/>
      <c r="F173" s="7" t="str">
        <f>'TANK HARDWARE'!M177</f>
        <v>M12-STUDx60-HDG-8.8</v>
      </c>
      <c r="G173" s="113">
        <f>'TANK HARDWARE'!N177</f>
        <v>0</v>
      </c>
      <c r="H173" s="113">
        <f>'TANK HARDWARE'!O177</f>
        <v>28</v>
      </c>
      <c r="I173" s="113">
        <f>'TANK HARDWARE'!Q177</f>
        <v>28</v>
      </c>
      <c r="J173" s="7">
        <f>'TANK HARDWARE'!R177</f>
        <v>28</v>
      </c>
      <c r="K173" s="7">
        <f>'TANK HARDWARE'!P177</f>
        <v>0</v>
      </c>
      <c r="L173" s="34" t="str">
        <f>'TANK HARDWARE'!D177</f>
        <v>PSD-686</v>
      </c>
    </row>
    <row r="174" spans="2:12" x14ac:dyDescent="0.25">
      <c r="B174" s="3">
        <v>1</v>
      </c>
      <c r="C174" s="3">
        <f t="shared" si="10"/>
        <v>6</v>
      </c>
      <c r="D174" s="201" t="str">
        <f>'TANK HARDWARE'!B178</f>
        <v>TRUNK CT TERMINAL BOX</v>
      </c>
      <c r="E174" s="164"/>
      <c r="F174" s="7" t="str">
        <f>'TANK HARDWARE'!M178</f>
        <v>M16x60-HDG-8.8</v>
      </c>
      <c r="G174" s="113">
        <f>'TANK HARDWARE'!N178</f>
        <v>12</v>
      </c>
      <c r="H174" s="113">
        <f>'TANK HARDWARE'!O178</f>
        <v>12</v>
      </c>
      <c r="I174" s="113">
        <f>'TANK HARDWARE'!Q178</f>
        <v>24</v>
      </c>
      <c r="J174" s="7">
        <f>'TANK HARDWARE'!R178</f>
        <v>0</v>
      </c>
      <c r="K174" s="7">
        <f>'TANK HARDWARE'!P178</f>
        <v>0</v>
      </c>
      <c r="L174" s="34" t="str">
        <f>'TANK HARDWARE'!D178</f>
        <v>SD-268</v>
      </c>
    </row>
    <row r="175" spans="2:12" x14ac:dyDescent="0.25">
      <c r="B175" s="3">
        <v>1</v>
      </c>
      <c r="C175" s="3">
        <f t="shared" si="10"/>
        <v>7</v>
      </c>
      <c r="D175" s="201" t="str">
        <f>'TANK HARDWARE'!B179</f>
        <v>PAD FLANGE FOR GLAND PLATE (CABLE BOX)</v>
      </c>
      <c r="E175" s="164"/>
      <c r="F175" s="7" t="str">
        <f>'TANK HARDWARE'!M179</f>
        <v>M12x50-HDG-8.8</v>
      </c>
      <c r="G175" s="113">
        <f>'TANK HARDWARE'!N179</f>
        <v>1</v>
      </c>
      <c r="H175" s="113">
        <f>'TANK HARDWARE'!O179</f>
        <v>1</v>
      </c>
      <c r="I175" s="113">
        <f>'TANK HARDWARE'!Q179</f>
        <v>2</v>
      </c>
      <c r="J175" s="7">
        <f>'TANK HARDWARE'!R179</f>
        <v>0</v>
      </c>
      <c r="K175" s="7">
        <f>'TANK HARDWARE'!P179</f>
        <v>0</v>
      </c>
      <c r="L175" s="34" t="str">
        <f>'TANK HARDWARE'!D179</f>
        <v>SD-268</v>
      </c>
    </row>
    <row r="176" spans="2:12" x14ac:dyDescent="0.25">
      <c r="B176" s="3">
        <v>1</v>
      </c>
      <c r="C176" s="3">
        <f t="shared" si="10"/>
        <v>8</v>
      </c>
      <c r="D176" s="201" t="str">
        <f>'TANK HARDWARE'!B180</f>
        <v>CABLE BOX SUPPORT ASSEMBLY</v>
      </c>
      <c r="E176" s="164"/>
      <c r="F176" s="7" t="str">
        <f>'TANK HARDWARE'!M180</f>
        <v>M16x60-HDG-8.8</v>
      </c>
      <c r="G176" s="113">
        <f>'TANK HARDWARE'!N180</f>
        <v>8</v>
      </c>
      <c r="H176" s="113">
        <f>'TANK HARDWARE'!O180</f>
        <v>8</v>
      </c>
      <c r="I176" s="113">
        <f>'TANK HARDWARE'!Q180</f>
        <v>16</v>
      </c>
      <c r="J176" s="7">
        <f>'TANK HARDWARE'!R180</f>
        <v>0</v>
      </c>
      <c r="K176" s="7">
        <f>'TANK HARDWARE'!P180</f>
        <v>0</v>
      </c>
      <c r="L176" s="34" t="str">
        <f>'TANK HARDWARE'!D180</f>
        <v>SD-268</v>
      </c>
    </row>
    <row r="177" spans="2:12" x14ac:dyDescent="0.25">
      <c r="B177" s="3">
        <v>1</v>
      </c>
      <c r="C177" s="3">
        <f t="shared" si="10"/>
        <v>9</v>
      </c>
      <c r="D177" s="201" t="str">
        <f>'TANK HARDWARE'!B181</f>
        <v>C/BOX SUPPORT CONNECTING CHANNEL</v>
      </c>
      <c r="E177" s="164"/>
      <c r="F177" s="7" t="str">
        <f>'TANK HARDWARE'!M181</f>
        <v>M16x50-HDG-8.8</v>
      </c>
      <c r="G177" s="113">
        <f>'TANK HARDWARE'!N181</f>
        <v>2</v>
      </c>
      <c r="H177" s="113">
        <f>'TANK HARDWARE'!O181</f>
        <v>2</v>
      </c>
      <c r="I177" s="113">
        <f>'TANK HARDWARE'!Q181</f>
        <v>4</v>
      </c>
      <c r="J177" s="7">
        <f>'TANK HARDWARE'!R181</f>
        <v>0</v>
      </c>
      <c r="K177" s="7">
        <f>'TANK HARDWARE'!P181</f>
        <v>0</v>
      </c>
      <c r="L177" s="34" t="str">
        <f>'TANK HARDWARE'!D181</f>
        <v>SD-268</v>
      </c>
    </row>
    <row r="178" spans="2:12" x14ac:dyDescent="0.25">
      <c r="B178" s="3">
        <v>1</v>
      </c>
      <c r="C178" s="3">
        <f t="shared" si="10"/>
        <v>10</v>
      </c>
      <c r="D178" s="201" t="str">
        <f>'TANK HARDWARE'!B182</f>
        <v>ANGLE FOR FRONT INSPECTION COVER(CABLE BOX)</v>
      </c>
      <c r="E178" s="164"/>
      <c r="F178" s="7" t="str">
        <f>'TANK HARDWARE'!M182</f>
        <v>M12x40-HDG-8.8</v>
      </c>
      <c r="G178" s="113">
        <f>'TANK HARDWARE'!N182</f>
        <v>50</v>
      </c>
      <c r="H178" s="113">
        <f>'TANK HARDWARE'!O182</f>
        <v>50</v>
      </c>
      <c r="I178" s="113">
        <f>'TANK HARDWARE'!Q182</f>
        <v>100</v>
      </c>
      <c r="J178" s="7">
        <f>'TANK HARDWARE'!R182</f>
        <v>0</v>
      </c>
      <c r="K178" s="7">
        <f>'TANK HARDWARE'!P182</f>
        <v>1</v>
      </c>
      <c r="L178" s="34" t="str">
        <f>'TANK HARDWARE'!D182</f>
        <v>SD-268</v>
      </c>
    </row>
    <row r="179" spans="2:12" x14ac:dyDescent="0.25">
      <c r="B179" s="3">
        <v>1</v>
      </c>
      <c r="C179" s="3">
        <f t="shared" si="10"/>
        <v>11</v>
      </c>
      <c r="D179" s="201" t="str">
        <f>'TANK HARDWARE'!B183</f>
        <v>CU FLAT &amp; JUMPER</v>
      </c>
      <c r="E179" s="164"/>
      <c r="F179" s="7" t="str">
        <f>'TANK HARDWARE'!M183</f>
        <v>M12x50-HDG-8.8</v>
      </c>
      <c r="G179" s="113">
        <f>'TANK HARDWARE'!N183</f>
        <v>1</v>
      </c>
      <c r="H179" s="113">
        <f>'TANK HARDWARE'!O183</f>
        <v>1</v>
      </c>
      <c r="I179" s="113">
        <f>'TANK HARDWARE'!Q183</f>
        <v>2</v>
      </c>
      <c r="J179" s="7">
        <f>'TANK HARDWARE'!R183</f>
        <v>0</v>
      </c>
      <c r="K179" s="7">
        <f>'TANK HARDWARE'!P183</f>
        <v>0</v>
      </c>
      <c r="L179" s="34" t="str">
        <f>'TANK HARDWARE'!D183</f>
        <v>SD-269</v>
      </c>
    </row>
    <row r="180" spans="2:12" x14ac:dyDescent="0.25">
      <c r="B180" s="3">
        <v>1</v>
      </c>
      <c r="C180" s="3">
        <f t="shared" si="10"/>
        <v>12</v>
      </c>
      <c r="D180" s="201" t="str">
        <f>'TANK HARDWARE'!B184</f>
        <v>INSULATOR TO  CABLE BOX</v>
      </c>
      <c r="E180" s="164"/>
      <c r="F180" s="7" t="str">
        <f>'TANK HARDWARE'!M184</f>
        <v>M20x50-HDG-8.8</v>
      </c>
      <c r="G180" s="113">
        <f>'TANK HARDWARE'!N184</f>
        <v>1</v>
      </c>
      <c r="H180" s="113">
        <f>'TANK HARDWARE'!O184</f>
        <v>1</v>
      </c>
      <c r="I180" s="113">
        <f>'TANK HARDWARE'!Q184</f>
        <v>2</v>
      </c>
      <c r="J180" s="7">
        <f>'TANK HARDWARE'!R184</f>
        <v>0</v>
      </c>
      <c r="K180" s="7">
        <f>'TANK HARDWARE'!P184</f>
        <v>0</v>
      </c>
      <c r="L180" s="34" t="str">
        <f>'TANK HARDWARE'!D184</f>
        <v>SD-269</v>
      </c>
    </row>
    <row r="181" spans="2:12" x14ac:dyDescent="0.25">
      <c r="B181" s="3">
        <v>1</v>
      </c>
      <c r="C181" s="3">
        <f t="shared" si="10"/>
        <v>13</v>
      </c>
      <c r="D181" s="201" t="str">
        <f>'TANK HARDWARE'!B185</f>
        <v>GI FLAT TO INSULATOR</v>
      </c>
      <c r="E181" s="164"/>
      <c r="F181" s="7" t="str">
        <f>'TANK HARDWARE'!M185</f>
        <v>M12x50-HDG-8.8</v>
      </c>
      <c r="G181" s="113">
        <f>'TANK HARDWARE'!N185</f>
        <v>1</v>
      </c>
      <c r="H181" s="113">
        <f>'TANK HARDWARE'!O185</f>
        <v>1</v>
      </c>
      <c r="I181" s="113">
        <f>'TANK HARDWARE'!Q185</f>
        <v>2</v>
      </c>
      <c r="J181" s="7">
        <f>'TANK HARDWARE'!R185</f>
        <v>0</v>
      </c>
      <c r="K181" s="7">
        <f>'TANK HARDWARE'!P185</f>
        <v>0</v>
      </c>
      <c r="L181" s="34" t="str">
        <f>'TANK HARDWARE'!D185</f>
        <v>SD-269</v>
      </c>
    </row>
    <row r="182" spans="2:12" x14ac:dyDescent="0.25">
      <c r="B182" s="3">
        <v>1</v>
      </c>
      <c r="C182" s="3">
        <f t="shared" si="10"/>
        <v>14</v>
      </c>
      <c r="D182" s="201" t="str">
        <f>'TANK HARDWARE'!B186</f>
        <v>CU FLAT TO GI FLAT</v>
      </c>
      <c r="E182" s="164"/>
      <c r="F182" s="7" t="str">
        <f>'TANK HARDWARE'!M186</f>
        <v>M16x50-HDG-8.8</v>
      </c>
      <c r="G182" s="113">
        <f>'TANK HARDWARE'!N186</f>
        <v>1</v>
      </c>
      <c r="H182" s="113">
        <f>'TANK HARDWARE'!O186</f>
        <v>1</v>
      </c>
      <c r="I182" s="113">
        <f>'TANK HARDWARE'!Q186</f>
        <v>2</v>
      </c>
      <c r="J182" s="7">
        <f>'TANK HARDWARE'!R186</f>
        <v>0</v>
      </c>
      <c r="K182" s="7">
        <f>'TANK HARDWARE'!P186</f>
        <v>0</v>
      </c>
      <c r="L182" s="34" t="str">
        <f>'TANK HARDWARE'!D186</f>
        <v>SD-269</v>
      </c>
    </row>
    <row r="183" spans="2:12" ht="14.25" customHeight="1" x14ac:dyDescent="0.25">
      <c r="B183" s="3">
        <v>1</v>
      </c>
      <c r="C183" s="3">
        <f t="shared" si="10"/>
        <v>15</v>
      </c>
      <c r="D183" s="201" t="str">
        <f>'TANK HARDWARE'!B187</f>
        <v>EARTHING BOSS</v>
      </c>
      <c r="E183" s="164"/>
      <c r="F183" s="7" t="str">
        <f>'TANK HARDWARE'!M187</f>
        <v>M16x50-HDG-8.8</v>
      </c>
      <c r="G183" s="113">
        <f>'TANK HARDWARE'!N187</f>
        <v>1</v>
      </c>
      <c r="H183" s="113">
        <f>'TANK HARDWARE'!O187</f>
        <v>1</v>
      </c>
      <c r="I183" s="113">
        <f>'TANK HARDWARE'!Q187</f>
        <v>2</v>
      </c>
      <c r="J183" s="7">
        <f>'TANK HARDWARE'!R187</f>
        <v>0</v>
      </c>
      <c r="K183" s="7">
        <f>'TANK HARDWARE'!P187</f>
        <v>0</v>
      </c>
      <c r="L183" s="34" t="str">
        <f>'TANK HARDWARE'!D187</f>
        <v>SD-269</v>
      </c>
    </row>
    <row r="184" spans="2:12" ht="14.25" customHeight="1" x14ac:dyDescent="0.25">
      <c r="D184" s="201"/>
      <c r="E184" s="164"/>
      <c r="F184" s="7"/>
      <c r="G184" s="113"/>
      <c r="H184" s="113"/>
      <c r="I184" s="113"/>
      <c r="J184" s="7"/>
      <c r="K184" s="7"/>
      <c r="L184" s="34"/>
    </row>
    <row r="185" spans="2:12" ht="14.25" customHeight="1" x14ac:dyDescent="0.25">
      <c r="D185" s="144" t="str">
        <f>'TANK HARDWARE'!B189</f>
        <v>TERTIRY TRUNK/ CABLE BOX</v>
      </c>
      <c r="E185" s="144"/>
      <c r="F185" s="144"/>
      <c r="G185" s="144"/>
      <c r="H185" s="144"/>
      <c r="I185" s="144"/>
      <c r="J185" s="144"/>
      <c r="K185" s="144"/>
      <c r="L185" s="145"/>
    </row>
    <row r="186" spans="2:12" x14ac:dyDescent="0.25">
      <c r="B186" s="3">
        <f>IF(G186=0,0,1)</f>
        <v>0</v>
      </c>
      <c r="C186" s="3">
        <f>B186+B183</f>
        <v>1</v>
      </c>
      <c r="D186" s="201" t="str">
        <f>'TANK HARDWARE'!B190</f>
        <v xml:space="preserve">DC INSPECTION COVER </v>
      </c>
      <c r="E186" s="164"/>
      <c r="F186" s="7" t="str">
        <f>'TANK HARDWARE'!M190</f>
        <v>M12-STUDx60-HDG-8.8</v>
      </c>
      <c r="G186" s="113">
        <f>'TANK HARDWARE'!N190</f>
        <v>0</v>
      </c>
      <c r="H186" s="113">
        <f>'TANK HARDWARE'!O190</f>
        <v>28</v>
      </c>
      <c r="I186" s="113">
        <f>'TANK HARDWARE'!Q190</f>
        <v>28</v>
      </c>
      <c r="J186" s="7">
        <f>'TANK HARDWARE'!R190</f>
        <v>28</v>
      </c>
      <c r="K186" s="7">
        <f>'TANK HARDWARE'!P190</f>
        <v>0</v>
      </c>
      <c r="L186" s="34" t="str">
        <f>'TANK HARDWARE'!D190</f>
        <v>PSD-686</v>
      </c>
    </row>
    <row r="187" spans="2:12" ht="14.25" customHeight="1" x14ac:dyDescent="0.25">
      <c r="B187" s="3">
        <v>1</v>
      </c>
      <c r="C187" s="3">
        <f t="shared" ref="C187:C200" si="11">B186+C186</f>
        <v>1</v>
      </c>
      <c r="D187" s="201" t="str">
        <f>'TANK HARDWARE'!B191</f>
        <v>TRUNK TO DC CONNECTION</v>
      </c>
      <c r="E187" s="164"/>
      <c r="F187" s="7" t="str">
        <f>'TANK HARDWARE'!M191</f>
        <v>M12x60-HDG-8.8</v>
      </c>
      <c r="G187" s="113">
        <f>'TANK HARDWARE'!N191</f>
        <v>90</v>
      </c>
      <c r="H187" s="113">
        <f>'TANK HARDWARE'!O191</f>
        <v>90</v>
      </c>
      <c r="I187" s="113">
        <f>'TANK HARDWARE'!Q191</f>
        <v>180</v>
      </c>
      <c r="J187" s="7">
        <f>'TANK HARDWARE'!R191</f>
        <v>90</v>
      </c>
      <c r="K187" s="7">
        <f>'TANK HARDWARE'!P191</f>
        <v>0</v>
      </c>
      <c r="L187" s="34" t="str">
        <f>'TANK HARDWARE'!D191</f>
        <v>SD-269</v>
      </c>
    </row>
    <row r="188" spans="2:12" ht="14.25" customHeight="1" x14ac:dyDescent="0.25">
      <c r="B188" s="3">
        <v>1</v>
      </c>
      <c r="C188" s="3">
        <f t="shared" si="11"/>
        <v>2</v>
      </c>
      <c r="D188" s="201" t="str">
        <f>'TANK HARDWARE'!B192</f>
        <v>DC TO CABLE BOX CONNECTION</v>
      </c>
      <c r="E188" s="164"/>
      <c r="F188" s="7" t="str">
        <f>'TANK HARDWARE'!M192</f>
        <v>M12x60-HDG-8.8</v>
      </c>
      <c r="G188" s="113">
        <f>'TANK HARDWARE'!N192</f>
        <v>90</v>
      </c>
      <c r="H188" s="113">
        <f>'TANK HARDWARE'!O192</f>
        <v>90</v>
      </c>
      <c r="I188" s="113">
        <f>'TANK HARDWARE'!Q192</f>
        <v>180</v>
      </c>
      <c r="J188" s="7">
        <f>'TANK HARDWARE'!R192</f>
        <v>90</v>
      </c>
      <c r="K188" s="7">
        <f>'TANK HARDWARE'!P192</f>
        <v>0</v>
      </c>
      <c r="L188" s="34" t="str">
        <f>'TANK HARDWARE'!D192</f>
        <v>SD-269</v>
      </c>
    </row>
    <row r="189" spans="2:12" ht="14.25" customHeight="1" x14ac:dyDescent="0.25">
      <c r="B189" s="3">
        <v>1</v>
      </c>
      <c r="C189" s="3">
        <f t="shared" si="11"/>
        <v>3</v>
      </c>
      <c r="D189" s="201" t="str">
        <f>'TANK HARDWARE'!B193</f>
        <v>TANK TO TRUNK CONNECTION</v>
      </c>
      <c r="E189" s="164"/>
      <c r="F189" s="7" t="str">
        <f>'TANK HARDWARE'!M193</f>
        <v>M12x60-HDG-8.8</v>
      </c>
      <c r="G189" s="113">
        <f>'TANK HARDWARE'!N193</f>
        <v>90</v>
      </c>
      <c r="H189" s="113">
        <f>'TANK HARDWARE'!O193</f>
        <v>90</v>
      </c>
      <c r="I189" s="113">
        <f>'TANK HARDWARE'!Q193</f>
        <v>180</v>
      </c>
      <c r="J189" s="7">
        <f>'TANK HARDWARE'!R193</f>
        <v>90</v>
      </c>
      <c r="K189" s="7">
        <f>'TANK HARDWARE'!P193</f>
        <v>0</v>
      </c>
      <c r="L189" s="34" t="str">
        <f>'TANK HARDWARE'!D193</f>
        <v>SD-269</v>
      </c>
    </row>
    <row r="190" spans="2:12" ht="14.25" customHeight="1" x14ac:dyDescent="0.25">
      <c r="B190" s="3">
        <v>1</v>
      </c>
      <c r="C190" s="3">
        <f t="shared" si="11"/>
        <v>4</v>
      </c>
      <c r="D190" s="201" t="str">
        <f>'TANK HARDWARE'!B194</f>
        <v xml:space="preserve">TRUNK INSPECTION COVER </v>
      </c>
      <c r="E190" s="164"/>
      <c r="F190" s="7" t="str">
        <f>'TANK HARDWARE'!M194</f>
        <v>M12-STUDx60-HDG-8.8</v>
      </c>
      <c r="G190" s="113">
        <f>'TANK HARDWARE'!N194</f>
        <v>0</v>
      </c>
      <c r="H190" s="113">
        <f>'TANK HARDWARE'!O194</f>
        <v>28</v>
      </c>
      <c r="I190" s="113">
        <f>'TANK HARDWARE'!Q194</f>
        <v>28</v>
      </c>
      <c r="J190" s="7">
        <f>'TANK HARDWARE'!R194</f>
        <v>28</v>
      </c>
      <c r="K190" s="7">
        <f>'TANK HARDWARE'!P194</f>
        <v>0</v>
      </c>
      <c r="L190" s="34" t="str">
        <f>'TANK HARDWARE'!D194</f>
        <v>PSD-686</v>
      </c>
    </row>
    <row r="191" spans="2:12" ht="14.25" customHeight="1" x14ac:dyDescent="0.25">
      <c r="B191" s="3">
        <v>1</v>
      </c>
      <c r="C191" s="3">
        <f t="shared" si="11"/>
        <v>5</v>
      </c>
      <c r="D191" s="201" t="str">
        <f>'TANK HARDWARE'!B195</f>
        <v>TRUNK CT TERMINAL BOX</v>
      </c>
      <c r="E191" s="164"/>
      <c r="F191" s="7" t="str">
        <f>'TANK HARDWARE'!M195</f>
        <v>M16x60-HDG-8.8</v>
      </c>
      <c r="G191" s="113">
        <f>'TANK HARDWARE'!N195</f>
        <v>12</v>
      </c>
      <c r="H191" s="113">
        <f>'TANK HARDWARE'!O195</f>
        <v>12</v>
      </c>
      <c r="I191" s="113">
        <f>'TANK HARDWARE'!Q195</f>
        <v>24</v>
      </c>
      <c r="J191" s="7">
        <f>'TANK HARDWARE'!R195</f>
        <v>0</v>
      </c>
      <c r="K191" s="7">
        <f>'TANK HARDWARE'!P195</f>
        <v>0</v>
      </c>
      <c r="L191" s="34" t="str">
        <f>'TANK HARDWARE'!D195</f>
        <v>SD-268</v>
      </c>
    </row>
    <row r="192" spans="2:12" x14ac:dyDescent="0.25">
      <c r="B192" s="3">
        <v>1</v>
      </c>
      <c r="C192" s="3">
        <f t="shared" si="11"/>
        <v>6</v>
      </c>
      <c r="D192" s="201" t="str">
        <f>'TANK HARDWARE'!B196</f>
        <v>PAD FLANGE FOR GLAND PLATE (CABLE BOX)</v>
      </c>
      <c r="E192" s="164"/>
      <c r="F192" s="7" t="str">
        <f>'TANK HARDWARE'!M196</f>
        <v>M12x50-HDG-8.8</v>
      </c>
      <c r="G192" s="113">
        <f>'TANK HARDWARE'!N196</f>
        <v>1</v>
      </c>
      <c r="H192" s="113">
        <f>'TANK HARDWARE'!O196</f>
        <v>1</v>
      </c>
      <c r="I192" s="113">
        <f>'TANK HARDWARE'!Q196</f>
        <v>2</v>
      </c>
      <c r="J192" s="7">
        <f>'TANK HARDWARE'!R196</f>
        <v>0</v>
      </c>
      <c r="K192" s="7">
        <f>'TANK HARDWARE'!P196</f>
        <v>0</v>
      </c>
      <c r="L192" s="34" t="str">
        <f>'TANK HARDWARE'!D196</f>
        <v>SD-268</v>
      </c>
    </row>
    <row r="193" spans="2:12" x14ac:dyDescent="0.25">
      <c r="B193" s="3">
        <v>1</v>
      </c>
      <c r="C193" s="3">
        <f t="shared" si="11"/>
        <v>7</v>
      </c>
      <c r="D193" s="201" t="str">
        <f>'TANK HARDWARE'!B197</f>
        <v>CABLE BOX SUPPORT ASSEMBLY</v>
      </c>
      <c r="E193" s="164"/>
      <c r="F193" s="7" t="str">
        <f>'TANK HARDWARE'!M197</f>
        <v>M16x60-HDG-8.8</v>
      </c>
      <c r="G193" s="113">
        <f>'TANK HARDWARE'!N197</f>
        <v>8</v>
      </c>
      <c r="H193" s="113">
        <f>'TANK HARDWARE'!O197</f>
        <v>8</v>
      </c>
      <c r="I193" s="113">
        <f>'TANK HARDWARE'!Q197</f>
        <v>16</v>
      </c>
      <c r="J193" s="7">
        <f>'TANK HARDWARE'!R197</f>
        <v>0</v>
      </c>
      <c r="K193" s="7">
        <f>'TANK HARDWARE'!P197</f>
        <v>0</v>
      </c>
      <c r="L193" s="34" t="str">
        <f>'TANK HARDWARE'!D197</f>
        <v>SD-268</v>
      </c>
    </row>
    <row r="194" spans="2:12" x14ac:dyDescent="0.25">
      <c r="B194" s="3">
        <v>1</v>
      </c>
      <c r="C194" s="3">
        <f t="shared" si="11"/>
        <v>8</v>
      </c>
      <c r="D194" s="201" t="str">
        <f>'TANK HARDWARE'!B198</f>
        <v>C/BOX SUPPORT CONNECTING CHANNEL</v>
      </c>
      <c r="E194" s="164"/>
      <c r="F194" s="7" t="str">
        <f>'TANK HARDWARE'!M198</f>
        <v>M16x50-HDG-8.8</v>
      </c>
      <c r="G194" s="113">
        <f>'TANK HARDWARE'!N198</f>
        <v>2</v>
      </c>
      <c r="H194" s="113">
        <f>'TANK HARDWARE'!O198</f>
        <v>2</v>
      </c>
      <c r="I194" s="113">
        <f>'TANK HARDWARE'!Q198</f>
        <v>4</v>
      </c>
      <c r="J194" s="7">
        <f>'TANK HARDWARE'!R198</f>
        <v>0</v>
      </c>
      <c r="K194" s="7">
        <f>'TANK HARDWARE'!P198</f>
        <v>0</v>
      </c>
      <c r="L194" s="34" t="str">
        <f>'TANK HARDWARE'!D198</f>
        <v>SD-268</v>
      </c>
    </row>
    <row r="195" spans="2:12" x14ac:dyDescent="0.25">
      <c r="B195" s="3">
        <v>1</v>
      </c>
      <c r="C195" s="3">
        <f t="shared" si="11"/>
        <v>9</v>
      </c>
      <c r="D195" s="201" t="str">
        <f>'TANK HARDWARE'!B199</f>
        <v>ANGLE FOR FRONT INSPECTION COVER(CABLE BOX)</v>
      </c>
      <c r="E195" s="164"/>
      <c r="F195" s="7" t="str">
        <f>'TANK HARDWARE'!M199</f>
        <v>M12x40-HDG-8.8</v>
      </c>
      <c r="G195" s="113">
        <f>'TANK HARDWARE'!N199</f>
        <v>50</v>
      </c>
      <c r="H195" s="113">
        <f>'TANK HARDWARE'!O199</f>
        <v>50</v>
      </c>
      <c r="I195" s="113">
        <f>'TANK HARDWARE'!Q199</f>
        <v>100</v>
      </c>
      <c r="J195" s="7">
        <f>'TANK HARDWARE'!R199</f>
        <v>0</v>
      </c>
      <c r="K195" s="7">
        <f>'TANK HARDWARE'!P199</f>
        <v>1</v>
      </c>
      <c r="L195" s="34" t="str">
        <f>'TANK HARDWARE'!D199</f>
        <v>SD-268</v>
      </c>
    </row>
    <row r="196" spans="2:12" x14ac:dyDescent="0.25">
      <c r="B196" s="3">
        <v>1</v>
      </c>
      <c r="C196" s="3">
        <f t="shared" si="11"/>
        <v>10</v>
      </c>
      <c r="D196" s="201" t="str">
        <f>'TANK HARDWARE'!B200</f>
        <v>CU FLAT &amp; JUMPER</v>
      </c>
      <c r="E196" s="164"/>
      <c r="F196" s="7" t="str">
        <f>'TANK HARDWARE'!M200</f>
        <v>M12x50-HDG-8.8</v>
      </c>
      <c r="G196" s="113">
        <f>'TANK HARDWARE'!N200</f>
        <v>1</v>
      </c>
      <c r="H196" s="113">
        <f>'TANK HARDWARE'!O200</f>
        <v>1</v>
      </c>
      <c r="I196" s="113">
        <f>'TANK HARDWARE'!Q200</f>
        <v>2</v>
      </c>
      <c r="J196" s="7">
        <f>'TANK HARDWARE'!R200</f>
        <v>0</v>
      </c>
      <c r="K196" s="7">
        <f>'TANK HARDWARE'!P200</f>
        <v>0</v>
      </c>
      <c r="L196" s="34" t="str">
        <f>'TANK HARDWARE'!D200</f>
        <v>SD-269</v>
      </c>
    </row>
    <row r="197" spans="2:12" x14ac:dyDescent="0.25">
      <c r="B197" s="3">
        <v>1</v>
      </c>
      <c r="C197" s="3">
        <f t="shared" si="11"/>
        <v>11</v>
      </c>
      <c r="D197" s="201" t="str">
        <f>'TANK HARDWARE'!B201</f>
        <v>INSULATOR TO  CABLE BOX</v>
      </c>
      <c r="E197" s="164"/>
      <c r="F197" s="7" t="str">
        <f>'TANK HARDWARE'!M201</f>
        <v>M20x50-HDG-8.8</v>
      </c>
      <c r="G197" s="113">
        <f>'TANK HARDWARE'!N201</f>
        <v>1</v>
      </c>
      <c r="H197" s="113">
        <f>'TANK HARDWARE'!O201</f>
        <v>1</v>
      </c>
      <c r="I197" s="113">
        <f>'TANK HARDWARE'!Q201</f>
        <v>2</v>
      </c>
      <c r="J197" s="7">
        <f>'TANK HARDWARE'!R201</f>
        <v>0</v>
      </c>
      <c r="K197" s="7">
        <f>'TANK HARDWARE'!P201</f>
        <v>0</v>
      </c>
      <c r="L197" s="34" t="str">
        <f>'TANK HARDWARE'!D201</f>
        <v>SD-269</v>
      </c>
    </row>
    <row r="198" spans="2:12" x14ac:dyDescent="0.25">
      <c r="B198" s="3">
        <v>1</v>
      </c>
      <c r="C198" s="3">
        <f t="shared" si="11"/>
        <v>12</v>
      </c>
      <c r="D198" s="201" t="str">
        <f>'TANK HARDWARE'!B202</f>
        <v>GI FLAT TO INSULATOR</v>
      </c>
      <c r="E198" s="164"/>
      <c r="F198" s="7" t="str">
        <f>'TANK HARDWARE'!M202</f>
        <v>M12x50-HDG-8.8</v>
      </c>
      <c r="G198" s="113">
        <f>'TANK HARDWARE'!N202</f>
        <v>1</v>
      </c>
      <c r="H198" s="113">
        <f>'TANK HARDWARE'!O202</f>
        <v>1</v>
      </c>
      <c r="I198" s="113">
        <f>'TANK HARDWARE'!Q202</f>
        <v>2</v>
      </c>
      <c r="J198" s="7">
        <f>'TANK HARDWARE'!R202</f>
        <v>0</v>
      </c>
      <c r="K198" s="7">
        <f>'TANK HARDWARE'!P202</f>
        <v>0</v>
      </c>
      <c r="L198" s="34" t="str">
        <f>'TANK HARDWARE'!D202</f>
        <v>SD-269</v>
      </c>
    </row>
    <row r="199" spans="2:12" x14ac:dyDescent="0.25">
      <c r="B199" s="3">
        <v>1</v>
      </c>
      <c r="C199" s="3">
        <f t="shared" si="11"/>
        <v>13</v>
      </c>
      <c r="D199" s="201" t="str">
        <f>'TANK HARDWARE'!B203</f>
        <v>CU FLAT TO GI FLAT</v>
      </c>
      <c r="E199" s="164"/>
      <c r="F199" s="7" t="str">
        <f>'TANK HARDWARE'!M203</f>
        <v>M16x50-HDG-8.8</v>
      </c>
      <c r="G199" s="113">
        <f>'TANK HARDWARE'!N203</f>
        <v>1</v>
      </c>
      <c r="H199" s="113">
        <f>'TANK HARDWARE'!O203</f>
        <v>1</v>
      </c>
      <c r="I199" s="113">
        <f>'TANK HARDWARE'!Q203</f>
        <v>2</v>
      </c>
      <c r="J199" s="7">
        <f>'TANK HARDWARE'!R203</f>
        <v>0</v>
      </c>
      <c r="K199" s="7">
        <f>'TANK HARDWARE'!P203</f>
        <v>0</v>
      </c>
      <c r="L199" s="34" t="str">
        <f>'TANK HARDWARE'!D203</f>
        <v>SD-269</v>
      </c>
    </row>
    <row r="200" spans="2:12" x14ac:dyDescent="0.25">
      <c r="B200" s="3">
        <v>1</v>
      </c>
      <c r="C200" s="3">
        <f t="shared" si="11"/>
        <v>14</v>
      </c>
      <c r="D200" s="201" t="str">
        <f>'TANK HARDWARE'!B204</f>
        <v>EARTHING BOSS</v>
      </c>
      <c r="E200" s="164"/>
      <c r="F200" s="7" t="str">
        <f>'TANK HARDWARE'!M204</f>
        <v>M16x50-HDG-8.8</v>
      </c>
      <c r="G200" s="113">
        <f>'TANK HARDWARE'!N204</f>
        <v>1</v>
      </c>
      <c r="H200" s="113">
        <f>'TANK HARDWARE'!O204</f>
        <v>1</v>
      </c>
      <c r="I200" s="113">
        <f>'TANK HARDWARE'!Q204</f>
        <v>2</v>
      </c>
      <c r="J200" s="7">
        <f>'TANK HARDWARE'!R204</f>
        <v>0</v>
      </c>
      <c r="K200" s="7">
        <f>'TANK HARDWARE'!P204</f>
        <v>0</v>
      </c>
      <c r="L200" s="34" t="str">
        <f>'TANK HARDWARE'!D204</f>
        <v>SD-269</v>
      </c>
    </row>
    <row r="201" spans="2:12" x14ac:dyDescent="0.25">
      <c r="B201" s="3" t="s">
        <v>56</v>
      </c>
      <c r="D201" s="201"/>
      <c r="E201" s="164"/>
      <c r="F201" s="7"/>
      <c r="G201" s="7"/>
      <c r="H201" s="7"/>
      <c r="I201" s="7"/>
      <c r="J201" s="7"/>
      <c r="K201" s="7"/>
      <c r="L201" s="34"/>
    </row>
    <row r="202" spans="2:12" x14ac:dyDescent="0.25">
      <c r="B202" s="3" t="s">
        <v>56</v>
      </c>
      <c r="D202" s="143" t="str">
        <f>'TANK HARDWARE'!B206</f>
        <v>COOLING ASSEMBLY (T-25)</v>
      </c>
      <c r="E202" s="144"/>
      <c r="F202" s="144"/>
      <c r="G202" s="144"/>
      <c r="H202" s="144"/>
      <c r="I202" s="144"/>
      <c r="J202" s="144"/>
      <c r="K202" s="144"/>
      <c r="L202" s="145"/>
    </row>
    <row r="203" spans="2:12" x14ac:dyDescent="0.25">
      <c r="B203" s="3">
        <f t="shared" ref="B203:B212" si="12">IF(G203=0,0,1)</f>
        <v>1</v>
      </c>
      <c r="C203" s="3">
        <f t="shared" ref="C203:C219" si="13">B203+C202</f>
        <v>1</v>
      </c>
      <c r="D203" s="201" t="str">
        <f>'TANK HARDWARE'!B207</f>
        <v>RADIATOR TANK MOUNTING ASSEMBLY</v>
      </c>
      <c r="E203" s="164"/>
      <c r="F203" s="7" t="str">
        <f>'TANK HARDWARE'!M207</f>
        <v>M16x120-HDG-8.8</v>
      </c>
      <c r="G203" s="113">
        <f>'TANK HARDWARE'!N207</f>
        <v>4</v>
      </c>
      <c r="H203" s="113">
        <f>'TANK HARDWARE'!O207</f>
        <v>8</v>
      </c>
      <c r="I203" s="113">
        <f>'TANK HARDWARE'!Q207</f>
        <v>8</v>
      </c>
      <c r="J203" s="7">
        <f>'TANK HARDWARE'!R207</f>
        <v>0</v>
      </c>
      <c r="K203" s="7">
        <f>'TANK HARDWARE'!P207</f>
        <v>0</v>
      </c>
      <c r="L203" s="34" t="str">
        <f>'TANK HARDWARE'!D207</f>
        <v>SD-269</v>
      </c>
    </row>
    <row r="204" spans="2:12" x14ac:dyDescent="0.25">
      <c r="B204" s="3">
        <f t="shared" si="12"/>
        <v>1</v>
      </c>
      <c r="C204" s="3">
        <f t="shared" si="13"/>
        <v>2</v>
      </c>
      <c r="D204" s="201" t="str">
        <f>'TANK HARDWARE'!B208</f>
        <v>RADIATOR A-FRAME MOUNTING ASSEMBLY</v>
      </c>
      <c r="E204" s="164"/>
      <c r="F204" s="7" t="str">
        <f>'TANK HARDWARE'!M208</f>
        <v>M16x120-HDG-8.8</v>
      </c>
      <c r="G204" s="113">
        <f>'TANK HARDWARE'!N208</f>
        <v>4</v>
      </c>
      <c r="H204" s="113">
        <f>'TANK HARDWARE'!O208</f>
        <v>8</v>
      </c>
      <c r="I204" s="113">
        <f>'TANK HARDWARE'!Q208</f>
        <v>2</v>
      </c>
      <c r="J204" s="7">
        <f>'TANK HARDWARE'!R208</f>
        <v>0</v>
      </c>
      <c r="K204" s="7">
        <f>'TANK HARDWARE'!P208</f>
        <v>0</v>
      </c>
      <c r="L204" s="34" t="str">
        <f>'TANK HARDWARE'!D208</f>
        <v>SD-269</v>
      </c>
    </row>
    <row r="205" spans="2:12" ht="15.75" customHeight="1" x14ac:dyDescent="0.25">
      <c r="B205" s="3">
        <f t="shared" si="12"/>
        <v>1</v>
      </c>
      <c r="C205" s="3">
        <f t="shared" si="13"/>
        <v>3</v>
      </c>
      <c r="D205" s="201" t="str">
        <f>'TANK HARDWARE'!B209</f>
        <v>A FRAME TO TOP HEADER</v>
      </c>
      <c r="E205" s="164"/>
      <c r="F205" s="7" t="str">
        <f>'TANK HARDWARE'!M209</f>
        <v>M20x50-HDG-8.8</v>
      </c>
      <c r="G205" s="113">
        <f>'TANK HARDWARE'!N209</f>
        <v>120</v>
      </c>
      <c r="H205" s="113">
        <f>'TANK HARDWARE'!O209</f>
        <v>120</v>
      </c>
      <c r="I205" s="113">
        <f>'TANK HARDWARE'!Q209</f>
        <v>240</v>
      </c>
      <c r="J205" s="7">
        <f>'TANK HARDWARE'!R209</f>
        <v>0</v>
      </c>
      <c r="K205" s="7">
        <f>'TANK HARDWARE'!P209</f>
        <v>0</v>
      </c>
      <c r="L205" s="34" t="str">
        <f>'TANK HARDWARE'!D209</f>
        <v>SD-269</v>
      </c>
    </row>
    <row r="206" spans="2:12" ht="16.5" customHeight="1" x14ac:dyDescent="0.25">
      <c r="B206" s="3">
        <f t="shared" si="12"/>
        <v>0</v>
      </c>
      <c r="C206" s="3">
        <f t="shared" si="13"/>
        <v>3</v>
      </c>
      <c r="D206" s="201" t="str">
        <f>'TANK HARDWARE'!B210</f>
        <v>A FRAME TO BOTTOM HEADER</v>
      </c>
      <c r="E206" s="164"/>
      <c r="F206" s="31" t="str">
        <f>'TANK HARDWARE'!M210</f>
        <v>M20x50-HDG-8.8</v>
      </c>
      <c r="G206" s="91">
        <f>'TANK HARDWARE'!N210</f>
        <v>0</v>
      </c>
      <c r="H206" s="91">
        <f>'TANK HARDWARE'!O210</f>
        <v>0</v>
      </c>
      <c r="I206" s="91">
        <f>'TANK HARDWARE'!Q210</f>
        <v>0</v>
      </c>
      <c r="J206" s="31">
        <f>'TANK HARDWARE'!R210</f>
        <v>0</v>
      </c>
      <c r="K206" s="7">
        <f>'TANK HARDWARE'!P210</f>
        <v>0</v>
      </c>
      <c r="L206" s="90" t="str">
        <f>'TANK HARDWARE'!D210</f>
        <v>SD-269</v>
      </c>
    </row>
    <row r="207" spans="2:12" ht="14.25" customHeight="1" x14ac:dyDescent="0.25">
      <c r="B207" s="3">
        <f t="shared" si="12"/>
        <v>0</v>
      </c>
      <c r="C207" s="3">
        <f t="shared" si="13"/>
        <v>3</v>
      </c>
      <c r="D207" s="201" t="str">
        <f>'TANK HARDWARE'!B211</f>
        <v>A FRAME JOINT</v>
      </c>
      <c r="E207" s="164"/>
      <c r="F207" s="7" t="str">
        <f>'TANK HARDWARE'!M211</f>
        <v>M16x50-HDG-8.8</v>
      </c>
      <c r="G207" s="113">
        <f>'TANK HARDWARE'!N211</f>
        <v>0</v>
      </c>
      <c r="H207" s="113">
        <f>'TANK HARDWARE'!O211</f>
        <v>0</v>
      </c>
      <c r="I207" s="113">
        <f>'TANK HARDWARE'!Q211</f>
        <v>0</v>
      </c>
      <c r="J207" s="7">
        <f>'TANK HARDWARE'!R211</f>
        <v>0</v>
      </c>
      <c r="K207" s="7">
        <f>'TANK HARDWARE'!P211</f>
        <v>0</v>
      </c>
      <c r="L207" s="34" t="str">
        <f>'TANK HARDWARE'!D211</f>
        <v>SD-269</v>
      </c>
    </row>
    <row r="208" spans="2:12" ht="13.5" customHeight="1" x14ac:dyDescent="0.25">
      <c r="B208" s="3">
        <f t="shared" si="12"/>
        <v>0</v>
      </c>
      <c r="C208" s="3">
        <f t="shared" si="13"/>
        <v>3</v>
      </c>
      <c r="D208" s="201" t="str">
        <f>'TANK HARDWARE'!B212</f>
        <v>CENTER I - SUPPORT</v>
      </c>
      <c r="E208" s="164"/>
      <c r="F208" s="7" t="str">
        <f>'TANK HARDWARE'!M212</f>
        <v>M16x50-HDG-8.8</v>
      </c>
      <c r="G208" s="113">
        <f>'TANK HARDWARE'!N212</f>
        <v>0</v>
      </c>
      <c r="H208" s="113">
        <f>'TANK HARDWARE'!O212</f>
        <v>0</v>
      </c>
      <c r="I208" s="113">
        <f>'TANK HARDWARE'!Q212</f>
        <v>0</v>
      </c>
      <c r="J208" s="7">
        <f>'TANK HARDWARE'!R212</f>
        <v>0</v>
      </c>
      <c r="K208" s="7">
        <f>'TANK HARDWARE'!P212</f>
        <v>0</v>
      </c>
      <c r="L208" s="34" t="str">
        <f>'TANK HARDWARE'!D212</f>
        <v>SD-269</v>
      </c>
    </row>
    <row r="209" spans="2:12" x14ac:dyDescent="0.25">
      <c r="B209" s="3">
        <f t="shared" si="12"/>
        <v>1</v>
      </c>
      <c r="C209" s="3">
        <f t="shared" si="13"/>
        <v>4</v>
      </c>
      <c r="D209" s="201" t="str">
        <f>'TANK HARDWARE'!B213</f>
        <v>LADDER ASSEMBLY</v>
      </c>
      <c r="E209" s="164"/>
      <c r="F209" s="7" t="str">
        <f>'TANK HARDWARE'!M213</f>
        <v>M16x50-HDG-8.8</v>
      </c>
      <c r="G209" s="113">
        <f>'TANK HARDWARE'!N213</f>
        <v>2</v>
      </c>
      <c r="H209" s="113">
        <f>'TANK HARDWARE'!O213</f>
        <v>0</v>
      </c>
      <c r="I209" s="113">
        <f>'TANK HARDWARE'!Q213</f>
        <v>4</v>
      </c>
      <c r="J209" s="7">
        <f>'TANK HARDWARE'!R213</f>
        <v>0</v>
      </c>
      <c r="K209" s="7">
        <f>'TANK HARDWARE'!P213</f>
        <v>0</v>
      </c>
      <c r="L209" s="34" t="str">
        <f>'TANK HARDWARE'!D213</f>
        <v>SD-269</v>
      </c>
    </row>
    <row r="210" spans="2:12" x14ac:dyDescent="0.25">
      <c r="B210" s="3">
        <f t="shared" si="12"/>
        <v>1</v>
      </c>
      <c r="C210" s="3">
        <f t="shared" si="13"/>
        <v>5</v>
      </c>
      <c r="D210" s="201" t="str">
        <f>'TANK HARDWARE'!B214</f>
        <v xml:space="preserve">PIPE SUPPORTS </v>
      </c>
      <c r="E210" s="164"/>
      <c r="F210" s="7" t="str">
        <f>'TANK HARDWARE'!M214</f>
        <v>M16x50-HDG-8.8</v>
      </c>
      <c r="G210" s="113">
        <f>'TANK HARDWARE'!N214</f>
        <v>5</v>
      </c>
      <c r="H210" s="113">
        <f>'TANK HARDWARE'!O214</f>
        <v>5</v>
      </c>
      <c r="I210" s="113">
        <f>'TANK HARDWARE'!Q214</f>
        <v>10</v>
      </c>
      <c r="J210" s="7">
        <f>'TANK HARDWARE'!R214</f>
        <v>0</v>
      </c>
      <c r="K210" s="7">
        <f>'TANK HARDWARE'!P214</f>
        <v>0</v>
      </c>
      <c r="L210" s="34" t="str">
        <f>'TANK HARDWARE'!D214</f>
        <v>SD-269</v>
      </c>
    </row>
    <row r="211" spans="2:12" x14ac:dyDescent="0.25">
      <c r="B211" s="3">
        <f t="shared" si="12"/>
        <v>1</v>
      </c>
      <c r="C211" s="3">
        <f t="shared" si="13"/>
        <v>6</v>
      </c>
      <c r="D211" s="201" t="str">
        <f>'TANK HARDWARE'!B215</f>
        <v>TOP COOLING HEADER 25NB FILTER VALVE ASM</v>
      </c>
      <c r="E211" s="164"/>
      <c r="F211" s="7" t="str">
        <f>'TANK HARDWARE'!M215</f>
        <v>M16x50-HDG-8.8</v>
      </c>
      <c r="G211" s="113">
        <f>'TANK HARDWARE'!N215</f>
        <v>5</v>
      </c>
      <c r="H211" s="113">
        <f>'TANK HARDWARE'!O215</f>
        <v>5</v>
      </c>
      <c r="I211" s="113">
        <f>'TANK HARDWARE'!Q215</f>
        <v>10</v>
      </c>
      <c r="J211" s="7">
        <f>'TANK HARDWARE'!R215</f>
        <v>0</v>
      </c>
      <c r="K211" s="7">
        <f>'TANK HARDWARE'!P215</f>
        <v>0</v>
      </c>
      <c r="L211" s="34" t="str">
        <f>'TANK HARDWARE'!D215</f>
        <v>SD-269</v>
      </c>
    </row>
    <row r="212" spans="2:12" x14ac:dyDescent="0.25">
      <c r="B212" s="3">
        <f t="shared" si="12"/>
        <v>1</v>
      </c>
      <c r="C212" s="3">
        <f t="shared" si="13"/>
        <v>7</v>
      </c>
      <c r="D212" s="201" t="str">
        <f>'TANK HARDWARE'!B216</f>
        <v>BOTTOM COOLING HEADER 25NB FILTER VALVE ASM</v>
      </c>
      <c r="E212" s="164"/>
      <c r="F212" s="7" t="str">
        <f>'TANK HARDWARE'!M216</f>
        <v>M16x50-HDG-8.8</v>
      </c>
      <c r="G212" s="113">
        <f>'TANK HARDWARE'!N216</f>
        <v>6</v>
      </c>
      <c r="H212" s="113">
        <f>'TANK HARDWARE'!O216</f>
        <v>6</v>
      </c>
      <c r="I212" s="113">
        <f>'TANK HARDWARE'!Q216</f>
        <v>12</v>
      </c>
      <c r="J212" s="7">
        <f>'TANK HARDWARE'!R216</f>
        <v>0</v>
      </c>
      <c r="K212" s="7">
        <f>'TANK HARDWARE'!P216</f>
        <v>0</v>
      </c>
      <c r="L212" s="34" t="str">
        <f>'TANK HARDWARE'!D216</f>
        <v>SD-269</v>
      </c>
    </row>
    <row r="213" spans="2:12" x14ac:dyDescent="0.25">
      <c r="B213" s="3">
        <v>1</v>
      </c>
      <c r="C213" s="3">
        <f t="shared" si="13"/>
        <v>8</v>
      </c>
      <c r="D213" s="201" t="str">
        <f>'TANK HARDWARE'!B217</f>
        <v>FAN TO FAN FRAME</v>
      </c>
      <c r="E213" s="164"/>
      <c r="F213" s="7" t="str">
        <f>'TANK HARDWARE'!M217</f>
        <v>M16x50-HDG-8.8</v>
      </c>
      <c r="G213" s="113">
        <f>'TANK HARDWARE'!N217</f>
        <v>50</v>
      </c>
      <c r="H213" s="113">
        <f>'TANK HARDWARE'!O217</f>
        <v>50</v>
      </c>
      <c r="I213" s="113">
        <f>'TANK HARDWARE'!Q217</f>
        <v>100</v>
      </c>
      <c r="J213" s="7">
        <f>'TANK HARDWARE'!R217</f>
        <v>0</v>
      </c>
      <c r="K213" s="7">
        <f>'TANK HARDWARE'!P217</f>
        <v>0</v>
      </c>
      <c r="L213" s="34" t="str">
        <f>'TANK HARDWARE'!D217</f>
        <v>SD-269</v>
      </c>
    </row>
    <row r="214" spans="2:12" x14ac:dyDescent="0.25">
      <c r="B214" s="3">
        <f t="shared" ref="B214:B219" si="14">IF(G214=0,0,1)</f>
        <v>1</v>
      </c>
      <c r="C214" s="3">
        <f t="shared" si="13"/>
        <v>9</v>
      </c>
      <c r="D214" s="201" t="str">
        <f>'TANK HARDWARE'!B218</f>
        <v>TOP COOLING HEADER 25NB FILTER VALVE ASM</v>
      </c>
      <c r="E214" s="164"/>
      <c r="F214" s="7" t="str">
        <f>'TANK HARDWARE'!M218</f>
        <v>M16x50-HDG-8.8</v>
      </c>
      <c r="G214" s="113">
        <f>'TANK HARDWARE'!N218</f>
        <v>10</v>
      </c>
      <c r="H214" s="113">
        <f>'TANK HARDWARE'!O218</f>
        <v>10</v>
      </c>
      <c r="I214" s="113">
        <f>'TANK HARDWARE'!Q218</f>
        <v>20</v>
      </c>
      <c r="J214" s="7">
        <f>'TANK HARDWARE'!R218</f>
        <v>0</v>
      </c>
      <c r="K214" s="7">
        <f>'TANK HARDWARE'!P218</f>
        <v>0</v>
      </c>
      <c r="L214" s="34" t="str">
        <f>'TANK HARDWARE'!D218</f>
        <v>SD-269</v>
      </c>
    </row>
    <row r="215" spans="2:12" x14ac:dyDescent="0.25">
      <c r="B215" s="3">
        <f t="shared" si="14"/>
        <v>1</v>
      </c>
      <c r="C215" s="3">
        <f t="shared" si="13"/>
        <v>10</v>
      </c>
      <c r="D215" s="201" t="str">
        <f>'TANK HARDWARE'!B219</f>
        <v>BOTTOM COOLING HEADER 25NB FILTER VALVE ASM</v>
      </c>
      <c r="E215" s="164"/>
      <c r="F215" s="7" t="str">
        <f>'TANK HARDWARE'!M219</f>
        <v>M16x50-HDG-8.8</v>
      </c>
      <c r="G215" s="113">
        <f>'TANK HARDWARE'!N219</f>
        <v>5</v>
      </c>
      <c r="H215" s="113">
        <f>'TANK HARDWARE'!O219</f>
        <v>5</v>
      </c>
      <c r="I215" s="113">
        <f>'TANK HARDWARE'!Q219</f>
        <v>10</v>
      </c>
      <c r="J215" s="7">
        <f>'TANK HARDWARE'!R219</f>
        <v>0</v>
      </c>
      <c r="K215" s="7">
        <f>'TANK HARDWARE'!P219</f>
        <v>0</v>
      </c>
      <c r="L215" s="34" t="str">
        <f>'TANK HARDWARE'!D219</f>
        <v>SD-269</v>
      </c>
    </row>
    <row r="216" spans="2:12" x14ac:dyDescent="0.25">
      <c r="B216" s="3">
        <f t="shared" si="14"/>
        <v>1</v>
      </c>
      <c r="C216" s="3">
        <f t="shared" si="13"/>
        <v>11</v>
      </c>
      <c r="D216" s="201" t="str">
        <f>'TANK HARDWARE'!B220</f>
        <v>FAN MOUNTING ASSEMBLY</v>
      </c>
      <c r="E216" s="164"/>
      <c r="F216" s="7" t="str">
        <f>'TANK HARDWARE'!M220</f>
        <v>M16x50-HDG-8.8</v>
      </c>
      <c r="G216" s="113">
        <f>'TANK HARDWARE'!N220</f>
        <v>2</v>
      </c>
      <c r="H216" s="113">
        <f>'TANK HARDWARE'!O220</f>
        <v>2</v>
      </c>
      <c r="I216" s="113">
        <f>'TANK HARDWARE'!Q220</f>
        <v>4</v>
      </c>
      <c r="J216" s="7">
        <f>'TANK HARDWARE'!R220</f>
        <v>0</v>
      </c>
      <c r="K216" s="7">
        <f>'TANK HARDWARE'!P220</f>
        <v>0</v>
      </c>
      <c r="L216" s="34" t="str">
        <f>'TANK HARDWARE'!D220</f>
        <v>SD-269</v>
      </c>
    </row>
    <row r="217" spans="2:12" x14ac:dyDescent="0.25">
      <c r="B217" s="3">
        <f t="shared" si="14"/>
        <v>1</v>
      </c>
      <c r="C217" s="3">
        <f t="shared" si="13"/>
        <v>12</v>
      </c>
      <c r="D217" s="201" t="str">
        <f>'TANK HARDWARE'!B221</f>
        <v>FAN MOUNTING SUPPORT ASSEMBLY</v>
      </c>
      <c r="E217" s="164"/>
      <c r="F217" s="7" t="str">
        <f>'TANK HARDWARE'!M221</f>
        <v>M16x50-HDG-8.8</v>
      </c>
      <c r="G217" s="113">
        <f>'TANK HARDWARE'!N221</f>
        <v>6</v>
      </c>
      <c r="H217" s="113">
        <f>'TANK HARDWARE'!O221</f>
        <v>6</v>
      </c>
      <c r="I217" s="113">
        <f>'TANK HARDWARE'!Q221</f>
        <v>12</v>
      </c>
      <c r="J217" s="7">
        <f>'TANK HARDWARE'!R221</f>
        <v>0</v>
      </c>
      <c r="K217" s="7">
        <f>'TANK HARDWARE'!P221</f>
        <v>0</v>
      </c>
      <c r="L217" s="34" t="str">
        <f>'TANK HARDWARE'!D221</f>
        <v>SD-269</v>
      </c>
    </row>
    <row r="218" spans="2:12" x14ac:dyDescent="0.25">
      <c r="B218" s="3">
        <f t="shared" si="14"/>
        <v>1</v>
      </c>
      <c r="C218" s="3">
        <f t="shared" si="13"/>
        <v>13</v>
      </c>
      <c r="D218" s="201" t="str">
        <f>'TANK HARDWARE'!B222</f>
        <v>FAN FRAME TO SUPPORT</v>
      </c>
      <c r="E218" s="164"/>
      <c r="F218" s="7" t="str">
        <f>'TANK HARDWARE'!M222</f>
        <v>M16x50-HDG-8.8</v>
      </c>
      <c r="G218" s="113">
        <f>'TANK HARDWARE'!N222</f>
        <v>5</v>
      </c>
      <c r="H218" s="113">
        <f>'TANK HARDWARE'!O222</f>
        <v>5</v>
      </c>
      <c r="I218" s="113">
        <f>'TANK HARDWARE'!Q222</f>
        <v>10</v>
      </c>
      <c r="J218" s="7">
        <f>'TANK HARDWARE'!R222</f>
        <v>0</v>
      </c>
      <c r="K218" s="7">
        <f>'TANK HARDWARE'!P222</f>
        <v>0</v>
      </c>
      <c r="L218" s="34" t="str">
        <f>'TANK HARDWARE'!D222</f>
        <v>SD-269</v>
      </c>
    </row>
    <row r="219" spans="2:12" x14ac:dyDescent="0.25">
      <c r="B219" s="3">
        <f t="shared" si="14"/>
        <v>1</v>
      </c>
      <c r="C219" s="3">
        <f t="shared" si="13"/>
        <v>14</v>
      </c>
      <c r="D219" s="201" t="str">
        <f>'TANK HARDWARE'!B223</f>
        <v>NRV (INSIDE)</v>
      </c>
      <c r="E219" s="164"/>
      <c r="F219" s="7" t="str">
        <f>'TANK HARDWARE'!M223</f>
        <v>M12x60-SS</v>
      </c>
      <c r="G219" s="113">
        <f>'TANK HARDWARE'!N223</f>
        <v>2</v>
      </c>
      <c r="H219" s="113">
        <f>'TANK HARDWARE'!O223</f>
        <v>2</v>
      </c>
      <c r="I219" s="113">
        <f>'TANK HARDWARE'!Q223</f>
        <v>4</v>
      </c>
      <c r="J219" s="7">
        <f>'TANK HARDWARE'!R223</f>
        <v>0</v>
      </c>
      <c r="K219" s="7">
        <f>'TANK HARDWARE'!P223</f>
        <v>0</v>
      </c>
      <c r="L219" s="34" t="str">
        <f>'TANK HARDWARE'!D223</f>
        <v>SD-269</v>
      </c>
    </row>
    <row r="220" spans="2:12" x14ac:dyDescent="0.25">
      <c r="B220" s="3" t="s">
        <v>56</v>
      </c>
      <c r="D220" s="201"/>
      <c r="E220" s="164"/>
      <c r="F220" s="7"/>
      <c r="G220" s="113"/>
      <c r="H220" s="113"/>
      <c r="I220" s="113"/>
      <c r="J220" s="7"/>
      <c r="K220" s="7"/>
      <c r="L220" s="34"/>
    </row>
    <row r="221" spans="2:12" x14ac:dyDescent="0.25">
      <c r="B221" s="3" t="s">
        <v>56</v>
      </c>
      <c r="D221" s="202" t="str">
        <f>'TANK HARDWARE'!B225</f>
        <v>CONSERVATOR &amp; AIR RELEASING PIPE ASSEMBLY (T-20)</v>
      </c>
      <c r="E221" s="165"/>
      <c r="F221" s="165"/>
      <c r="G221" s="165"/>
      <c r="H221" s="165"/>
      <c r="I221" s="165"/>
      <c r="J221" s="165"/>
      <c r="K221" s="165"/>
      <c r="L221" s="164"/>
    </row>
    <row r="222" spans="2:12" x14ac:dyDescent="0.25">
      <c r="B222" s="3">
        <f t="shared" ref="B222:B233" si="15">IF(G222=0,0,1)</f>
        <v>1</v>
      </c>
      <c r="C222" s="3">
        <f t="shared" ref="C222:C233" si="16">B222+C221</f>
        <v>1</v>
      </c>
      <c r="D222" s="201" t="str">
        <f>'TANK HARDWARE'!B226</f>
        <v>CONSERVATOR ASSEMBLY</v>
      </c>
      <c r="E222" s="164"/>
      <c r="F222" s="7" t="str">
        <f>'TANK HARDWARE'!M226</f>
        <v>M16x50-HDG-8.8</v>
      </c>
      <c r="G222" s="113">
        <f>'TANK HARDWARE'!N226</f>
        <v>120</v>
      </c>
      <c r="H222" s="113">
        <f>'TANK HARDWARE'!O226</f>
        <v>120</v>
      </c>
      <c r="I222" s="113">
        <f>'TANK HARDWARE'!Q226</f>
        <v>240</v>
      </c>
      <c r="J222" s="7">
        <f>'TANK HARDWARE'!R226</f>
        <v>0</v>
      </c>
      <c r="K222" s="7">
        <f>'TANK HARDWARE'!P226</f>
        <v>0</v>
      </c>
      <c r="L222" s="34" t="str">
        <f>'TANK HARDWARE'!D226</f>
        <v>SD-269</v>
      </c>
    </row>
    <row r="223" spans="2:12" x14ac:dyDescent="0.25">
      <c r="B223" s="3">
        <f t="shared" si="15"/>
        <v>1</v>
      </c>
      <c r="C223" s="3">
        <f t="shared" si="16"/>
        <v>2</v>
      </c>
      <c r="D223" s="201" t="str">
        <f>'TANK HARDWARE'!B227</f>
        <v>CONSERVATOR FRAME SUPPORT</v>
      </c>
      <c r="E223" s="164"/>
      <c r="F223" s="7" t="str">
        <f>'TANK HARDWARE'!M227</f>
        <v>M16x50-HDG-8.8</v>
      </c>
      <c r="G223" s="113">
        <f>'TANK HARDWARE'!N227</f>
        <v>120</v>
      </c>
      <c r="H223" s="113">
        <f>'TANK HARDWARE'!O227</f>
        <v>120</v>
      </c>
      <c r="I223" s="113">
        <f>'TANK HARDWARE'!Q227</f>
        <v>240</v>
      </c>
      <c r="J223" s="7">
        <f>'TANK HARDWARE'!R227</f>
        <v>0</v>
      </c>
      <c r="K223" s="7">
        <f>'TANK HARDWARE'!P227</f>
        <v>0</v>
      </c>
      <c r="L223" s="34" t="str">
        <f>'TANK HARDWARE'!D227</f>
        <v>SD-269</v>
      </c>
    </row>
    <row r="224" spans="2:12" x14ac:dyDescent="0.25">
      <c r="B224" s="3">
        <f t="shared" si="15"/>
        <v>1</v>
      </c>
      <c r="C224" s="3">
        <f t="shared" si="16"/>
        <v>3</v>
      </c>
      <c r="D224" s="201" t="str">
        <f>'TANK HARDWARE'!B228</f>
        <v>CONSERVATOR FRAME SUPPORT CROSS/CONNECTING ASM</v>
      </c>
      <c r="E224" s="164"/>
      <c r="F224" s="7" t="str">
        <f>'TANK HARDWARE'!M228</f>
        <v>M16x50-HDG-8.8</v>
      </c>
      <c r="G224" s="113">
        <f>'TANK HARDWARE'!N228</f>
        <v>120</v>
      </c>
      <c r="H224" s="113">
        <f>'TANK HARDWARE'!O228</f>
        <v>120</v>
      </c>
      <c r="I224" s="113">
        <f>'TANK HARDWARE'!Q228</f>
        <v>240</v>
      </c>
      <c r="J224" s="7">
        <f>'TANK HARDWARE'!R228</f>
        <v>0</v>
      </c>
      <c r="K224" s="7">
        <f>'TANK HARDWARE'!P228</f>
        <v>0</v>
      </c>
      <c r="L224" s="34" t="str">
        <f>'TANK HARDWARE'!D228</f>
        <v>SD-269</v>
      </c>
    </row>
    <row r="225" spans="2:12" x14ac:dyDescent="0.25">
      <c r="B225" s="3">
        <f t="shared" si="15"/>
        <v>1</v>
      </c>
      <c r="C225" s="3">
        <f t="shared" si="16"/>
        <v>4</v>
      </c>
      <c r="D225" s="201" t="str">
        <f>'TANK HARDWARE'!B229</f>
        <v>OLTC CONSERVATOR ASSEMBLY</v>
      </c>
      <c r="E225" s="164"/>
      <c r="F225" s="7" t="str">
        <f>'TANK HARDWARE'!M229</f>
        <v>M16x60-HDG-8.8</v>
      </c>
      <c r="G225" s="113">
        <f>'TANK HARDWARE'!N229</f>
        <v>120</v>
      </c>
      <c r="H225" s="113">
        <f>'TANK HARDWARE'!O229</f>
        <v>120</v>
      </c>
      <c r="I225" s="113">
        <f>'TANK HARDWARE'!Q229</f>
        <v>240</v>
      </c>
      <c r="J225" s="7">
        <f>'TANK HARDWARE'!R229</f>
        <v>0</v>
      </c>
      <c r="K225" s="7">
        <f>'TANK HARDWARE'!P229</f>
        <v>0</v>
      </c>
      <c r="L225" s="34" t="str">
        <f>'TANK HARDWARE'!D229</f>
        <v>SD-269</v>
      </c>
    </row>
    <row r="226" spans="2:12" x14ac:dyDescent="0.25">
      <c r="B226" s="3">
        <f t="shared" si="15"/>
        <v>1</v>
      </c>
      <c r="C226" s="3">
        <f t="shared" si="16"/>
        <v>5</v>
      </c>
      <c r="D226" s="201" t="str">
        <f>'TANK HARDWARE'!B230</f>
        <v xml:space="preserve">80NB CONSERVATOR CONNECTING PIPE JOINTS </v>
      </c>
      <c r="E226" s="164"/>
      <c r="F226" s="7" t="str">
        <f>'TANK HARDWARE'!M230</f>
        <v>M16x50-HDG-8.8</v>
      </c>
      <c r="G226" s="113">
        <f>'TANK HARDWARE'!N230</f>
        <v>50</v>
      </c>
      <c r="H226" s="113">
        <f>'TANK HARDWARE'!O230</f>
        <v>50</v>
      </c>
      <c r="I226" s="113">
        <f>'TANK HARDWARE'!Q230</f>
        <v>100</v>
      </c>
      <c r="J226" s="7">
        <f>'TANK HARDWARE'!R230</f>
        <v>0</v>
      </c>
      <c r="K226" s="7">
        <f>'TANK HARDWARE'!P230</f>
        <v>0</v>
      </c>
      <c r="L226" s="34" t="str">
        <f>'TANK HARDWARE'!D230</f>
        <v>SD-269</v>
      </c>
    </row>
    <row r="227" spans="2:12" x14ac:dyDescent="0.25">
      <c r="B227" s="3">
        <f t="shared" si="15"/>
        <v>1</v>
      </c>
      <c r="C227" s="3">
        <f t="shared" si="16"/>
        <v>6</v>
      </c>
      <c r="D227" s="201" t="str">
        <f>'TANK HARDWARE'!B231</f>
        <v xml:space="preserve">25NB AIR RELEASING PIPE JOINTS </v>
      </c>
      <c r="E227" s="164"/>
      <c r="F227" s="7" t="str">
        <f>'TANK HARDWARE'!M231</f>
        <v>M16x50-HDG-8.8</v>
      </c>
      <c r="G227" s="113">
        <f>'TANK HARDWARE'!N231</f>
        <v>10</v>
      </c>
      <c r="H227" s="113">
        <f>'TANK HARDWARE'!O231</f>
        <v>10</v>
      </c>
      <c r="I227" s="113">
        <f>'TANK HARDWARE'!Q231</f>
        <v>20</v>
      </c>
      <c r="J227" s="7">
        <f>'TANK HARDWARE'!R231</f>
        <v>0</v>
      </c>
      <c r="K227" s="7">
        <f>'TANK HARDWARE'!P231</f>
        <v>0</v>
      </c>
      <c r="L227" s="34" t="str">
        <f>'TANK HARDWARE'!D231</f>
        <v>SD-269</v>
      </c>
    </row>
    <row r="228" spans="2:12" x14ac:dyDescent="0.25">
      <c r="B228" s="3">
        <f t="shared" si="15"/>
        <v>1</v>
      </c>
      <c r="C228" s="3">
        <f t="shared" si="16"/>
        <v>7</v>
      </c>
      <c r="D228" s="201" t="str">
        <f>'TANK HARDWARE'!B232</f>
        <v>SMART BREATHER SUPPORT</v>
      </c>
      <c r="E228" s="164"/>
      <c r="F228" s="7" t="str">
        <f>'TANK HARDWARE'!M232</f>
        <v>M16x50-HDG-8.8</v>
      </c>
      <c r="G228" s="113">
        <f>'TANK HARDWARE'!N232</f>
        <v>50</v>
      </c>
      <c r="H228" s="113">
        <f>'TANK HARDWARE'!O232</f>
        <v>50</v>
      </c>
      <c r="I228" s="113">
        <f>'TANK HARDWARE'!Q232</f>
        <v>100</v>
      </c>
      <c r="J228" s="7">
        <f>'TANK HARDWARE'!R232</f>
        <v>0</v>
      </c>
      <c r="K228" s="7">
        <f>'TANK HARDWARE'!P232</f>
        <v>0</v>
      </c>
      <c r="L228" s="34" t="str">
        <f>'TANK HARDWARE'!D232</f>
        <v>SD-269</v>
      </c>
    </row>
    <row r="229" spans="2:12" x14ac:dyDescent="0.25">
      <c r="B229" s="3">
        <f t="shared" si="15"/>
        <v>1</v>
      </c>
      <c r="C229" s="3">
        <f t="shared" si="16"/>
        <v>8</v>
      </c>
      <c r="D229" s="201" t="str">
        <f>'TANK HARDWARE'!B233</f>
        <v>25NB PIPE HOLDING CLAMPS</v>
      </c>
      <c r="E229" s="164"/>
      <c r="F229" s="7" t="str">
        <f>'TANK HARDWARE'!M233</f>
        <v>M12x50-HDG-8.8</v>
      </c>
      <c r="G229" s="113">
        <f>'TANK HARDWARE'!N233</f>
        <v>26</v>
      </c>
      <c r="H229" s="113">
        <f>'TANK HARDWARE'!O233</f>
        <v>26</v>
      </c>
      <c r="I229" s="113">
        <f>'TANK HARDWARE'!Q233</f>
        <v>52</v>
      </c>
      <c r="J229" s="7">
        <f>'TANK HARDWARE'!R233</f>
        <v>0</v>
      </c>
      <c r="K229" s="7">
        <f>'TANK HARDWARE'!P233</f>
        <v>0</v>
      </c>
      <c r="L229" s="34" t="str">
        <f>'TANK HARDWARE'!D233</f>
        <v>SD-269</v>
      </c>
    </row>
    <row r="230" spans="2:12" x14ac:dyDescent="0.25">
      <c r="B230" s="3">
        <f t="shared" si="15"/>
        <v>1</v>
      </c>
      <c r="C230" s="3">
        <f t="shared" si="16"/>
        <v>9</v>
      </c>
      <c r="D230" s="201" t="str">
        <f>'TANK HARDWARE'!B234</f>
        <v>FAN MOUNTING SUPPORT</v>
      </c>
      <c r="E230" s="164"/>
      <c r="F230" s="7" t="str">
        <f>'TANK HARDWARE'!M234</f>
        <v>M16x50-HDG-8.8</v>
      </c>
      <c r="G230" s="113">
        <f>'TANK HARDWARE'!N234</f>
        <v>26</v>
      </c>
      <c r="H230" s="113">
        <f>'TANK HARDWARE'!O234</f>
        <v>26</v>
      </c>
      <c r="I230" s="113">
        <f>'TANK HARDWARE'!Q234</f>
        <v>52</v>
      </c>
      <c r="J230" s="7">
        <f>'TANK HARDWARE'!R234</f>
        <v>0</v>
      </c>
      <c r="K230" s="7">
        <f>'TANK HARDWARE'!P234</f>
        <v>0</v>
      </c>
      <c r="L230" s="34" t="str">
        <f>'TANK HARDWARE'!D234</f>
        <v>SD-269</v>
      </c>
    </row>
    <row r="231" spans="2:12" x14ac:dyDescent="0.25">
      <c r="B231" s="3">
        <f t="shared" si="15"/>
        <v>1</v>
      </c>
      <c r="C231" s="3">
        <f t="shared" si="16"/>
        <v>10</v>
      </c>
      <c r="D231" s="201" t="str">
        <f>'TANK HARDWARE'!B235</f>
        <v>FAN MOUNTING SUPPORT</v>
      </c>
      <c r="E231" s="164"/>
      <c r="F231" s="7" t="str">
        <f>'TANK HARDWARE'!M235</f>
        <v>M16x50-HDG-8.8</v>
      </c>
      <c r="G231" s="113">
        <f>'TANK HARDWARE'!N235</f>
        <v>56</v>
      </c>
      <c r="H231" s="113">
        <f>'TANK HARDWARE'!O235</f>
        <v>56</v>
      </c>
      <c r="I231" s="113">
        <f>'TANK HARDWARE'!Q235</f>
        <v>112</v>
      </c>
      <c r="J231" s="7">
        <f>'TANK HARDWARE'!R235</f>
        <v>0</v>
      </c>
      <c r="K231" s="7">
        <f>'TANK HARDWARE'!P235</f>
        <v>0</v>
      </c>
      <c r="L231" s="34" t="str">
        <f>'TANK HARDWARE'!D235</f>
        <v>SD-269</v>
      </c>
    </row>
    <row r="232" spans="2:12" x14ac:dyDescent="0.25">
      <c r="B232" s="3">
        <f t="shared" si="15"/>
        <v>1</v>
      </c>
      <c r="C232" s="3">
        <f t="shared" si="16"/>
        <v>11</v>
      </c>
      <c r="D232" s="201" t="str">
        <f>'TANK HARDWARE'!B236</f>
        <v>FAN FRAME TO SUPPORT</v>
      </c>
      <c r="E232" s="164"/>
      <c r="F232" s="7" t="str">
        <f>'TANK HARDWARE'!M236</f>
        <v>M16x50-HDG-8.8</v>
      </c>
      <c r="G232" s="113">
        <f>'TANK HARDWARE'!N236</f>
        <v>50</v>
      </c>
      <c r="H232" s="113">
        <f>'TANK HARDWARE'!O236</f>
        <v>50</v>
      </c>
      <c r="I232" s="113">
        <f>'TANK HARDWARE'!Q236</f>
        <v>100</v>
      </c>
      <c r="J232" s="7">
        <f>'TANK HARDWARE'!R236</f>
        <v>0</v>
      </c>
      <c r="K232" s="7">
        <f>'TANK HARDWARE'!P236</f>
        <v>0</v>
      </c>
      <c r="L232" s="34" t="str">
        <f>'TANK HARDWARE'!D236</f>
        <v>SD-269</v>
      </c>
    </row>
    <row r="233" spans="2:12" x14ac:dyDescent="0.25">
      <c r="B233" s="3">
        <f t="shared" si="15"/>
        <v>1</v>
      </c>
      <c r="C233" s="3">
        <f t="shared" si="16"/>
        <v>12</v>
      </c>
      <c r="D233" s="201" t="str">
        <f>'TANK HARDWARE'!B237</f>
        <v>EARTHING BOSS</v>
      </c>
      <c r="E233" s="164"/>
      <c r="F233" s="7" t="str">
        <f>'TANK HARDWARE'!M237</f>
        <v>M16x50-HDG-8.8</v>
      </c>
      <c r="G233" s="113">
        <f>'TANK HARDWARE'!N237</f>
        <v>42</v>
      </c>
      <c r="H233" s="113">
        <f>'TANK HARDWARE'!O237</f>
        <v>42</v>
      </c>
      <c r="I233" s="113">
        <f>'TANK HARDWARE'!Q237</f>
        <v>84</v>
      </c>
      <c r="J233" s="7">
        <f>'TANK HARDWARE'!R237</f>
        <v>0</v>
      </c>
      <c r="K233" s="7">
        <f>'TANK HARDWARE'!P237</f>
        <v>0</v>
      </c>
      <c r="L233" s="34" t="str">
        <f>'TANK HARDWARE'!D237</f>
        <v>SD-269</v>
      </c>
    </row>
    <row r="234" spans="2:12" x14ac:dyDescent="0.25">
      <c r="B234" s="3" t="s">
        <v>56</v>
      </c>
      <c r="D234" s="201"/>
      <c r="E234" s="164"/>
      <c r="F234" s="7"/>
      <c r="G234" s="113"/>
      <c r="H234" s="113"/>
      <c r="I234" s="113"/>
      <c r="J234" s="7"/>
      <c r="K234" s="7"/>
      <c r="L234" s="34"/>
    </row>
    <row r="235" spans="2:12" x14ac:dyDescent="0.25">
      <c r="B235" s="3" t="s">
        <v>56</v>
      </c>
      <c r="D235" s="202" t="str">
        <f>'TANK HARDWARE'!B239</f>
        <v>FOUNDATION BOLTS (CD-02)</v>
      </c>
      <c r="E235" s="165"/>
      <c r="F235" s="165"/>
      <c r="G235" s="165"/>
      <c r="H235" s="165"/>
      <c r="I235" s="165"/>
      <c r="J235" s="165"/>
      <c r="K235" s="165"/>
      <c r="L235" s="164"/>
    </row>
    <row r="236" spans="2:12" x14ac:dyDescent="0.25">
      <c r="B236" s="3">
        <f>IF(G236=0,0,1)</f>
        <v>1</v>
      </c>
      <c r="C236" s="3">
        <f>B236+C235</f>
        <v>1</v>
      </c>
      <c r="D236" s="201" t="str">
        <f>'TANK HARDWARE'!B240</f>
        <v>FOUNDATION BOLT - M24x300 (PSD-510/REF-4)</v>
      </c>
      <c r="E236" s="164"/>
      <c r="F236" s="7" t="str">
        <f>'TANK HARDWARE'!M240</f>
        <v>M24x320-HDG-8.8</v>
      </c>
      <c r="G236" s="113">
        <f>'TANK HARDWARE'!N240</f>
        <v>10</v>
      </c>
      <c r="H236" s="113">
        <f>'TANK HARDWARE'!O240</f>
        <v>20</v>
      </c>
      <c r="I236" s="113">
        <f>'TANK HARDWARE'!Q240</f>
        <v>20</v>
      </c>
      <c r="J236" s="7">
        <f>'TANK HARDWARE'!R240</f>
        <v>10</v>
      </c>
      <c r="K236" s="7">
        <f>'TANK HARDWARE'!P240</f>
        <v>0</v>
      </c>
      <c r="L236" s="34" t="str">
        <f>'TANK HARDWARE'!D240</f>
        <v>PSD-510</v>
      </c>
    </row>
    <row r="237" spans="2:12" x14ac:dyDescent="0.25">
      <c r="B237" s="3">
        <f>IF(G237=0,0,1)</f>
        <v>1</v>
      </c>
      <c r="C237" s="3">
        <f>B237+C236</f>
        <v>2</v>
      </c>
      <c r="D237" s="201" t="str">
        <f>'TANK HARDWARE'!B241</f>
        <v>FOUNDATION BOLT - M20x250 (PSD-510/REF-3)</v>
      </c>
      <c r="E237" s="164"/>
      <c r="F237" s="7" t="str">
        <f>'TANK HARDWARE'!M241</f>
        <v>M20x270-HDG-8.8</v>
      </c>
      <c r="G237" s="113">
        <f>'TANK HARDWARE'!N241</f>
        <v>20</v>
      </c>
      <c r="H237" s="113">
        <f>'TANK HARDWARE'!O241</f>
        <v>40</v>
      </c>
      <c r="I237" s="113">
        <f>'TANK HARDWARE'!Q241</f>
        <v>40</v>
      </c>
      <c r="J237" s="7">
        <f>'TANK HARDWARE'!R241</f>
        <v>20</v>
      </c>
      <c r="K237" s="7"/>
      <c r="L237" s="34" t="str">
        <f>'TANK HARDWARE'!D240</f>
        <v>PSD-510</v>
      </c>
    </row>
    <row r="238" spans="2:12" x14ac:dyDescent="0.25">
      <c r="B238" s="3">
        <f>IF(G238=0,0,1)</f>
        <v>1</v>
      </c>
      <c r="C238" s="3">
        <f>B238+C237</f>
        <v>3</v>
      </c>
      <c r="D238" s="201" t="str">
        <f>'TANK HARDWARE'!B242</f>
        <v>FOUNDATION BOLT - M16x200 (PSD-510/REF-2)</v>
      </c>
      <c r="E238" s="164"/>
      <c r="F238" s="7" t="str">
        <f>'TANK HARDWARE'!M242</f>
        <v>M16x220-HDG-8.8</v>
      </c>
      <c r="G238" s="113">
        <f>'TANK HARDWARE'!N242</f>
        <v>30</v>
      </c>
      <c r="H238" s="113">
        <f>'TANK HARDWARE'!O242</f>
        <v>60</v>
      </c>
      <c r="I238" s="113">
        <f>'TANK HARDWARE'!Q242</f>
        <v>60</v>
      </c>
      <c r="J238" s="7">
        <f>'TANK HARDWARE'!R242</f>
        <v>30</v>
      </c>
      <c r="K238" s="7"/>
      <c r="L238" s="34" t="str">
        <f>'TANK HARDWARE'!D240</f>
        <v>PSD-510</v>
      </c>
    </row>
    <row r="239" spans="2:12" x14ac:dyDescent="0.25">
      <c r="B239" s="3">
        <f>IF(G239=0,0,1)</f>
        <v>1</v>
      </c>
      <c r="C239" s="3">
        <f>B239+C238</f>
        <v>4</v>
      </c>
      <c r="D239" s="201" t="str">
        <f>'TANK HARDWARE'!B243</f>
        <v>FOUNDATION BOLT - M12x200 (PSD-510/REF-1)</v>
      </c>
      <c r="E239" s="164"/>
      <c r="F239" s="7" t="str">
        <f>'TANK HARDWARE'!M243</f>
        <v>M12x220-HDG-8.8</v>
      </c>
      <c r="G239" s="113">
        <f>'TANK HARDWARE'!N243</f>
        <v>40</v>
      </c>
      <c r="H239" s="113">
        <f>'TANK HARDWARE'!O243</f>
        <v>80</v>
      </c>
      <c r="I239" s="113">
        <f>'TANK HARDWARE'!Q243</f>
        <v>80</v>
      </c>
      <c r="J239" s="7">
        <f>'TANK HARDWARE'!R243</f>
        <v>40</v>
      </c>
      <c r="K239" s="7"/>
      <c r="L239" s="34" t="str">
        <f>'TANK HARDWARE'!D240</f>
        <v>PSD-510</v>
      </c>
    </row>
    <row r="240" spans="2:12" x14ac:dyDescent="0.25">
      <c r="B240" s="3" t="s">
        <v>56</v>
      </c>
      <c r="D240" s="201"/>
      <c r="E240" s="164"/>
      <c r="F240" s="7"/>
      <c r="G240" s="113"/>
      <c r="H240" s="113"/>
      <c r="I240" s="113"/>
      <c r="J240" s="7"/>
      <c r="K240" s="7"/>
      <c r="L240" s="34"/>
    </row>
    <row r="241" spans="2:12" x14ac:dyDescent="0.25">
      <c r="B241" s="3" t="s">
        <v>56</v>
      </c>
      <c r="D241" s="111" t="s">
        <v>57</v>
      </c>
      <c r="L241" s="92"/>
    </row>
    <row r="242" spans="2:12" x14ac:dyDescent="0.25">
      <c r="B242" s="3" t="s">
        <v>56</v>
      </c>
      <c r="D242" s="111" t="s">
        <v>58</v>
      </c>
      <c r="L242" s="92"/>
    </row>
    <row r="243" spans="2:12" x14ac:dyDescent="0.25">
      <c r="B243" s="3" t="s">
        <v>56</v>
      </c>
      <c r="D243" s="111"/>
      <c r="L243" s="92"/>
    </row>
    <row r="244" spans="2:12" x14ac:dyDescent="0.25">
      <c r="B244" s="3" t="s">
        <v>56</v>
      </c>
      <c r="D244" s="120" t="s">
        <v>59</v>
      </c>
      <c r="E244" s="178" t="s">
        <v>60</v>
      </c>
      <c r="F244" s="165"/>
      <c r="G244" s="165"/>
      <c r="H244" s="175" t="s">
        <v>61</v>
      </c>
      <c r="I244" s="165"/>
      <c r="J244" s="165"/>
      <c r="K244" s="165"/>
      <c r="L244" s="164"/>
    </row>
    <row r="245" spans="2:12" x14ac:dyDescent="0.25">
      <c r="B245" s="3" t="s">
        <v>56</v>
      </c>
      <c r="D245" s="7" t="s">
        <v>62</v>
      </c>
      <c r="E245" s="179" t="s">
        <v>63</v>
      </c>
      <c r="F245" s="165"/>
      <c r="G245" s="165"/>
      <c r="H245" s="163" t="s">
        <v>62</v>
      </c>
      <c r="I245" s="165"/>
      <c r="J245" s="165"/>
      <c r="K245" s="165"/>
      <c r="L245" s="164"/>
    </row>
  </sheetData>
  <autoFilter ref="B11:B244" xr:uid="{00000000-0009-0000-0000-000002000000}">
    <filterColumn colId="0">
      <filters>
        <filter val="1"/>
      </filters>
    </filterColumn>
  </autoFilter>
  <mergeCells count="197">
    <mergeCell ref="D31:E31"/>
    <mergeCell ref="D158:E158"/>
    <mergeCell ref="D226:E226"/>
    <mergeCell ref="D206:E206"/>
    <mergeCell ref="D175:E175"/>
    <mergeCell ref="D91:E93"/>
    <mergeCell ref="D126:E130"/>
    <mergeCell ref="D142:E142"/>
    <mergeCell ref="D110:E111"/>
    <mergeCell ref="D103:E103"/>
    <mergeCell ref="D74:E74"/>
    <mergeCell ref="D68:E68"/>
    <mergeCell ref="D82:E82"/>
    <mergeCell ref="D235:L235"/>
    <mergeCell ref="D13:E13"/>
    <mergeCell ref="D213:E213"/>
    <mergeCell ref="D160:E160"/>
    <mergeCell ref="D141:E141"/>
    <mergeCell ref="D150:E150"/>
    <mergeCell ref="D79:E80"/>
    <mergeCell ref="D215:E215"/>
    <mergeCell ref="D232:E232"/>
    <mergeCell ref="D75:E76"/>
    <mergeCell ref="D20:E20"/>
    <mergeCell ref="D178:E178"/>
    <mergeCell ref="D60:E60"/>
    <mergeCell ref="D172:E172"/>
    <mergeCell ref="D187:E187"/>
    <mergeCell ref="D151:L151"/>
    <mergeCell ref="D174:E174"/>
    <mergeCell ref="D84:E84"/>
    <mergeCell ref="D22:E22"/>
    <mergeCell ref="D231:E231"/>
    <mergeCell ref="D188:E188"/>
    <mergeCell ref="D28:E28"/>
    <mergeCell ref="D216:E216"/>
    <mergeCell ref="D55:E55"/>
    <mergeCell ref="D11:E11"/>
    <mergeCell ref="D198:E198"/>
    <mergeCell ref="D238:E238"/>
    <mergeCell ref="D7:E7"/>
    <mergeCell ref="D112:E112"/>
    <mergeCell ref="D94:E95"/>
    <mergeCell ref="D205:E205"/>
    <mergeCell ref="D56:E56"/>
    <mergeCell ref="D193:E193"/>
    <mergeCell ref="D176:E176"/>
    <mergeCell ref="D65:E66"/>
    <mergeCell ref="D114:E114"/>
    <mergeCell ref="D96:E97"/>
    <mergeCell ref="D47:E51"/>
    <mergeCell ref="D24:E24"/>
    <mergeCell ref="D64:E64"/>
    <mergeCell ref="D177:E177"/>
    <mergeCell ref="D33:E33"/>
    <mergeCell ref="D98:E98"/>
    <mergeCell ref="D34:E37"/>
    <mergeCell ref="D173:E173"/>
    <mergeCell ref="D9:L9"/>
    <mergeCell ref="D8:E8"/>
    <mergeCell ref="D146:E146"/>
    <mergeCell ref="D10:E10"/>
    <mergeCell ref="D19:E19"/>
    <mergeCell ref="D38:E42"/>
    <mergeCell ref="D203:E203"/>
    <mergeCell ref="D99:E99"/>
    <mergeCell ref="D122:E125"/>
    <mergeCell ref="D140:E140"/>
    <mergeCell ref="D101:E101"/>
    <mergeCell ref="D43:E46"/>
    <mergeCell ref="D179:E179"/>
    <mergeCell ref="D164:E164"/>
    <mergeCell ref="D113:E113"/>
    <mergeCell ref="D26:E26"/>
    <mergeCell ref="D148:E148"/>
    <mergeCell ref="D115:E115"/>
    <mergeCell ref="D108:E108"/>
    <mergeCell ref="D86:E86"/>
    <mergeCell ref="D195:E195"/>
    <mergeCell ref="D61:E62"/>
    <mergeCell ref="D70:E71"/>
    <mergeCell ref="D15:E15"/>
    <mergeCell ref="D29:E29"/>
    <mergeCell ref="D23:E23"/>
    <mergeCell ref="D12:E12"/>
    <mergeCell ref="D230:E230"/>
    <mergeCell ref="D165:E165"/>
    <mergeCell ref="D180:E180"/>
    <mergeCell ref="D118:E118"/>
    <mergeCell ref="D152:E152"/>
    <mergeCell ref="D167:E167"/>
    <mergeCell ref="D223:E223"/>
    <mergeCell ref="D161:E161"/>
    <mergeCell ref="D228:E228"/>
    <mergeCell ref="D229:E229"/>
    <mergeCell ref="D221:L221"/>
    <mergeCell ref="D201:E201"/>
    <mergeCell ref="D211:E211"/>
    <mergeCell ref="D192:E192"/>
    <mergeCell ref="D155:E155"/>
    <mergeCell ref="D149:E149"/>
    <mergeCell ref="F31:N31"/>
    <mergeCell ref="D189:E189"/>
    <mergeCell ref="D204:E204"/>
    <mergeCell ref="D197:E197"/>
    <mergeCell ref="D53:E53"/>
    <mergeCell ref="D166:E166"/>
    <mergeCell ref="E244:G244"/>
    <mergeCell ref="D169:E169"/>
    <mergeCell ref="D144:E144"/>
    <mergeCell ref="D153:E153"/>
    <mergeCell ref="D218:E218"/>
    <mergeCell ref="D63:E63"/>
    <mergeCell ref="D199:E199"/>
    <mergeCell ref="D81:E81"/>
    <mergeCell ref="D208:E208"/>
    <mergeCell ref="D186:E186"/>
    <mergeCell ref="D220:E220"/>
    <mergeCell ref="D102:E102"/>
    <mergeCell ref="D131:E134"/>
    <mergeCell ref="D196:E196"/>
    <mergeCell ref="D83:E83"/>
    <mergeCell ref="D143:E143"/>
    <mergeCell ref="D236:E236"/>
    <mergeCell ref="D117:E117"/>
    <mergeCell ref="E245:G245"/>
    <mergeCell ref="J4:L4"/>
    <mergeCell ref="D217:E217"/>
    <mergeCell ref="F7:G7"/>
    <mergeCell ref="D105:E105"/>
    <mergeCell ref="D170:E170"/>
    <mergeCell ref="D52:E52"/>
    <mergeCell ref="D120:E120"/>
    <mergeCell ref="D2:E4"/>
    <mergeCell ref="D27:E27"/>
    <mergeCell ref="D194:E194"/>
    <mergeCell ref="D107:E107"/>
    <mergeCell ref="D163:E163"/>
    <mergeCell ref="D234:E234"/>
    <mergeCell ref="D116:E116"/>
    <mergeCell ref="D17:E17"/>
    <mergeCell ref="D162:E162"/>
    <mergeCell ref="D156:E156"/>
    <mergeCell ref="D171:E171"/>
    <mergeCell ref="D214:E214"/>
    <mergeCell ref="D106:E106"/>
    <mergeCell ref="D212:E212"/>
    <mergeCell ref="D18:E18"/>
    <mergeCell ref="D58:E58"/>
    <mergeCell ref="H245:L245"/>
    <mergeCell ref="D77:E78"/>
    <mergeCell ref="D25:E25"/>
    <mergeCell ref="D30:E30"/>
    <mergeCell ref="D157:E157"/>
    <mergeCell ref="D67:E67"/>
    <mergeCell ref="D14:E14"/>
    <mergeCell ref="D85:E85"/>
    <mergeCell ref="D207:E207"/>
    <mergeCell ref="D54:E54"/>
    <mergeCell ref="H244:L244"/>
    <mergeCell ref="D182:E182"/>
    <mergeCell ref="D69:E69"/>
    <mergeCell ref="D222:E222"/>
    <mergeCell ref="D191:E191"/>
    <mergeCell ref="D109:E109"/>
    <mergeCell ref="D72:E73"/>
    <mergeCell ref="D237:E237"/>
    <mergeCell ref="D119:E119"/>
    <mergeCell ref="D190:E190"/>
    <mergeCell ref="D159:E159"/>
    <mergeCell ref="D233:E233"/>
    <mergeCell ref="D240:E240"/>
    <mergeCell ref="D59:E59"/>
    <mergeCell ref="F2:H4"/>
    <mergeCell ref="D21:E21"/>
    <mergeCell ref="D183:E183"/>
    <mergeCell ref="D239:E239"/>
    <mergeCell ref="D87:E90"/>
    <mergeCell ref="D219:E219"/>
    <mergeCell ref="D104:E104"/>
    <mergeCell ref="D57:E57"/>
    <mergeCell ref="D145:E145"/>
    <mergeCell ref="D32:E32"/>
    <mergeCell ref="D154:E154"/>
    <mergeCell ref="D210:E210"/>
    <mergeCell ref="D225:E225"/>
    <mergeCell ref="D121:L121"/>
    <mergeCell ref="D200:E200"/>
    <mergeCell ref="D16:E16"/>
    <mergeCell ref="D209:E209"/>
    <mergeCell ref="D147:E147"/>
    <mergeCell ref="D227:E227"/>
    <mergeCell ref="D184:E184"/>
    <mergeCell ref="D224:E224"/>
    <mergeCell ref="D135:E139"/>
    <mergeCell ref="H7:L7"/>
    <mergeCell ref="D181:E181"/>
  </mergeCells>
  <printOptions horizontalCentered="1"/>
  <pageMargins left="0.5" right="0.5" top="0.5" bottom="0.5" header="0.31496062992126" footer="0.31496062992126"/>
  <pageSetup paperSize="9" scale="63" fitToHeight="0" orientation="portrait" r:id="rId1"/>
  <rowBreaks count="3" manualBreakCount="3">
    <brk id="73" min="3" max="10" man="1"/>
    <brk id="145" min="3" max="11" man="1"/>
    <brk id="200" min="3" max="11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B2:L131"/>
  <sheetViews>
    <sheetView tabSelected="1" view="pageBreakPreview" topLeftCell="A3" zoomScaleNormal="100" zoomScaleSheetLayoutView="100" workbookViewId="0">
      <selection activeCell="M18" sqref="M18"/>
    </sheetView>
  </sheetViews>
  <sheetFormatPr defaultRowHeight="15" x14ac:dyDescent="0.25"/>
  <cols>
    <col min="1" max="1" width="2.42578125" customWidth="1"/>
    <col min="2" max="2" width="3" style="3" customWidth="1"/>
    <col min="3" max="3" width="3.28515625" style="3" customWidth="1"/>
    <col min="4" max="5" width="30.7109375" style="4" customWidth="1"/>
    <col min="6" max="6" width="27" style="3" customWidth="1"/>
    <col min="7" max="10" width="10.7109375" style="3" customWidth="1"/>
  </cols>
  <sheetData>
    <row r="2" spans="4:10" ht="17.45" customHeight="1" x14ac:dyDescent="0.25">
      <c r="D2" s="163"/>
      <c r="E2" s="169"/>
      <c r="F2" s="172" t="s">
        <v>0</v>
      </c>
      <c r="G2" s="169"/>
      <c r="H2" s="107" t="s">
        <v>1</v>
      </c>
      <c r="I2" s="108"/>
      <c r="J2" s="108"/>
    </row>
    <row r="3" spans="4:10" ht="17.45" customHeight="1" x14ac:dyDescent="0.25">
      <c r="D3" s="170"/>
      <c r="E3" s="162"/>
      <c r="F3" s="170"/>
      <c r="G3" s="162"/>
      <c r="H3" s="95" t="s">
        <v>2</v>
      </c>
      <c r="I3" s="94"/>
      <c r="J3" s="94"/>
    </row>
    <row r="4" spans="4:10" ht="17.45" customHeight="1" x14ac:dyDescent="0.25">
      <c r="D4" s="171"/>
      <c r="E4" s="168"/>
      <c r="F4" s="171"/>
      <c r="G4" s="168"/>
      <c r="H4" s="114" t="s">
        <v>3</v>
      </c>
      <c r="I4" s="161" t="str">
        <f>'TANK HARDWARE'!K6</f>
        <v>XX.XX.XX</v>
      </c>
      <c r="J4" s="162"/>
    </row>
    <row r="5" spans="4:10" x14ac:dyDescent="0.25">
      <c r="D5" s="87" t="s">
        <v>4</v>
      </c>
      <c r="E5" s="28">
        <f>'TANK HARDWARE'!C1</f>
        <v>6449</v>
      </c>
      <c r="F5" s="7" t="s">
        <v>5</v>
      </c>
      <c r="G5" s="118"/>
      <c r="H5" s="118"/>
      <c r="I5" s="118"/>
      <c r="J5" s="118"/>
    </row>
    <row r="6" spans="4:10" x14ac:dyDescent="0.25">
      <c r="D6" s="87" t="s">
        <v>6</v>
      </c>
      <c r="E6" s="88" t="str">
        <f>'TANK HARDWARE'!K6</f>
        <v>XX.XX.XX</v>
      </c>
      <c r="F6" s="7" t="s">
        <v>7</v>
      </c>
      <c r="G6" s="89"/>
      <c r="H6" s="89"/>
      <c r="I6" s="89"/>
      <c r="J6" s="89"/>
    </row>
    <row r="7" spans="4:10" x14ac:dyDescent="0.25">
      <c r="D7" s="152" t="s">
        <v>8</v>
      </c>
      <c r="E7" s="151" t="str">
        <f>'TANK HARDWARE'!C4</f>
        <v>HDG-8.8</v>
      </c>
      <c r="F7" s="96"/>
      <c r="G7" s="150"/>
      <c r="H7" s="150"/>
      <c r="I7" s="150"/>
      <c r="J7" s="150"/>
    </row>
    <row r="8" spans="4:10" x14ac:dyDescent="0.25">
      <c r="D8" s="152" t="s">
        <v>9</v>
      </c>
      <c r="E8" s="151" t="str">
        <f>'TANK HARDWARE'!C5</f>
        <v>HDG-8.8</v>
      </c>
      <c r="F8" s="96"/>
      <c r="G8" s="150"/>
      <c r="H8" s="150"/>
      <c r="I8" s="150"/>
      <c r="J8" s="150"/>
    </row>
    <row r="9" spans="4:10" x14ac:dyDescent="0.25">
      <c r="D9" s="163"/>
      <c r="E9" s="164"/>
      <c r="F9" s="120"/>
      <c r="G9" s="166"/>
      <c r="H9" s="167"/>
      <c r="I9" s="167"/>
      <c r="J9" s="168"/>
    </row>
    <row r="10" spans="4:10" x14ac:dyDescent="0.25">
      <c r="D10" s="173" t="s">
        <v>10</v>
      </c>
      <c r="E10" s="164"/>
      <c r="F10" s="155" t="s">
        <v>11</v>
      </c>
      <c r="G10" s="155" t="s">
        <v>12</v>
      </c>
      <c r="H10" s="155" t="s">
        <v>13</v>
      </c>
      <c r="I10" s="155" t="s">
        <v>14</v>
      </c>
      <c r="J10" s="155" t="s">
        <v>15</v>
      </c>
    </row>
    <row r="11" spans="4:10" x14ac:dyDescent="0.25">
      <c r="D11" s="163" t="s">
        <v>16</v>
      </c>
      <c r="E11" s="164"/>
      <c r="F11" s="7" t="s">
        <v>829</v>
      </c>
      <c r="G11" s="154">
        <f>SUMIF('PRINT SHEET'!$F$9:$F$245,$D11&amp;"x*-"&amp;$F11,'PRINT SHEET'!$H$9:$H$245)+SUMIF('PRINT SHEET'!$F$9:$F$245,$D11&amp;"-STUDx*-"&amp;$F11,'PRINT SHEET'!$H$9:$H$245)</f>
        <v>48</v>
      </c>
      <c r="H11" s="7">
        <f>SUMIF('PRINT SHEET'!$F$9:$F$245,$D11&amp;"x*-"&amp;$F11,'PRINT SHEET'!$I$9:$I$245)+SUMIF('PRINT SHEET'!$F$9:$F$245,$D11&amp;"-STUDx*-"&amp;$F11,'PRINT SHEET'!$I$9:$I$245)</f>
        <v>96</v>
      </c>
      <c r="I11" s="7">
        <f>SUMIF('PRINT SHEET'!$F$9:$F$245,$D11&amp;"x*-"&amp;$F11,'PRINT SHEET'!$J$9:$J$245)+SUMIF('PRINT SHEET'!$F$9:$F$245,$D11&amp;"-STUDx*-"&amp;$F11,'PRINT SHEET'!$J$9:$J$245)</f>
        <v>44</v>
      </c>
      <c r="J11" s="7">
        <f>SUMIF('PRINT SHEET'!$F$9:$F$245,$D11&amp;"x*-"&amp;$F11,'PRINT SHEET'!$K$9:$K$245)+SUMIF('PRINT SHEET'!$F$9:$F$245,$D11&amp;"-STUDx*-"&amp;$F11,'PRINT SHEET'!$K$9:$K$245)</f>
        <v>0</v>
      </c>
    </row>
    <row r="12" spans="4:10" x14ac:dyDescent="0.25">
      <c r="D12" s="163" t="s">
        <v>17</v>
      </c>
      <c r="E12" s="164"/>
      <c r="F12" s="7" t="s">
        <v>829</v>
      </c>
      <c r="G12" s="154">
        <f>SUMIF('PRINT SHEET'!$F$9:$F$245,$D12&amp;"x*-"&amp;$F12,'PRINT SHEET'!$H$9:$H$245)+SUMIF('PRINT SHEET'!$F$9:$F$245,$D12&amp;"-STUDx*-"&amp;$F12,'PRINT SHEET'!$H$9:$H$245)</f>
        <v>9</v>
      </c>
      <c r="H12" s="7">
        <f>SUMIF('PRINT SHEET'!$F$9:$F$245,$D12&amp;"x*-"&amp;$F12,'PRINT SHEET'!$I$9:$I$245)+SUMIF('PRINT SHEET'!$F$9:$F$245,$D12&amp;"-STUDx*-"&amp;$F12,'PRINT SHEET'!$I$9:$I$245)</f>
        <v>18</v>
      </c>
      <c r="I12" s="7">
        <f>SUMIF('PRINT SHEET'!$F$9:$F$245,$D12&amp;"x*-"&amp;$F12,'PRINT SHEET'!$J$9:$J$245)+SUMIF('PRINT SHEET'!$F$9:$F$245,$D12&amp;"-STUDx*-"&amp;$F12,'PRINT SHEET'!$J$9:$J$245)</f>
        <v>8</v>
      </c>
      <c r="J12" s="7">
        <f>SUMIF('PRINT SHEET'!$F$9:$F$245,$D12&amp;"x*-"&amp;$F12,'PRINT SHEET'!$K$9:$K$245)+SUMIF('PRINT SHEET'!$F$9:$F$245,$D12&amp;"-STUDx*-"&amp;$F12,'PRINT SHEET'!$K$9:$K$245)</f>
        <v>0</v>
      </c>
    </row>
    <row r="13" spans="4:10" x14ac:dyDescent="0.25">
      <c r="D13" s="163" t="s">
        <v>19</v>
      </c>
      <c r="E13" s="164"/>
      <c r="F13" s="7" t="s">
        <v>829</v>
      </c>
      <c r="G13" s="154">
        <f>SUMIF('PRINT SHEET'!$F$9:$F$245,$D13&amp;"x*-"&amp;$F13,'PRINT SHEET'!$H$9:$H$245)+SUMIF('PRINT SHEET'!$F$9:$F$245,$D13&amp;"-STUDx*-"&amp;$F13,'PRINT SHEET'!$H$9:$H$245)</f>
        <v>22</v>
      </c>
      <c r="H13" s="7">
        <f>SUMIF('PRINT SHEET'!$F$9:$F$245,$D13&amp;"x*-"&amp;$F13,'PRINT SHEET'!$I$9:$I$245)+SUMIF('PRINT SHEET'!$F$9:$F$245,$D13&amp;"-STUDx*-"&amp;$F13,'PRINT SHEET'!$I$9:$I$245)</f>
        <v>107</v>
      </c>
      <c r="I13" s="7">
        <f>SUMIF('PRINT SHEET'!$F$9:$F$245,$D13&amp;"x*-"&amp;$F13,'PRINT SHEET'!$J$9:$J$245)+SUMIF('PRINT SHEET'!$F$9:$F$245,$D13&amp;"-STUDx*-"&amp;$F13,'PRINT SHEET'!$J$9:$J$245)</f>
        <v>16</v>
      </c>
      <c r="J13" s="7">
        <f>SUMIF('PRINT SHEET'!$F$9:$F$245,$D13&amp;"x*-"&amp;$F13,'PRINT SHEET'!$K$9:$K$245)+SUMIF('PRINT SHEET'!$F$9:$F$245,$D13&amp;"-STUDx*-"&amp;$F13,'PRINT SHEET'!$K$9:$K$245)</f>
        <v>0</v>
      </c>
    </row>
    <row r="14" spans="4:10" x14ac:dyDescent="0.25">
      <c r="D14" s="163" t="s">
        <v>20</v>
      </c>
      <c r="E14" s="164"/>
      <c r="F14" s="7" t="s">
        <v>829</v>
      </c>
      <c r="G14" s="154">
        <f>SUMIF('PRINT SHEET'!$F$9:$F$245,$D14&amp;"x*-"&amp;$F14,'PRINT SHEET'!$H$9:$H$245)+SUMIF('PRINT SHEET'!$F$9:$F$245,$D14&amp;"-STUDx*-"&amp;$F14,'PRINT SHEET'!$H$9:$H$245)</f>
        <v>90</v>
      </c>
      <c r="H14" s="7">
        <f>SUMIF('PRINT SHEET'!$F$9:$F$245,$D14&amp;"x*-"&amp;$F14,'PRINT SHEET'!$I$9:$I$245)+SUMIF('PRINT SHEET'!$F$9:$F$245,$D14&amp;"-STUDx*-"&amp;$F14,'PRINT SHEET'!$I$9:$I$245)</f>
        <v>154</v>
      </c>
      <c r="I14" s="7">
        <f>SUMIF('PRINT SHEET'!$F$9:$F$245,$D14&amp;"x*-"&amp;$F14,'PRINT SHEET'!$J$9:$J$245)+SUMIF('PRINT SHEET'!$F$9:$F$245,$D14&amp;"-STUDx*-"&amp;$F14,'PRINT SHEET'!$J$9:$J$245)</f>
        <v>28</v>
      </c>
      <c r="J14" s="7">
        <f>SUMIF('PRINT SHEET'!$F$9:$F$245,$D14&amp;"x*-"&amp;$F14,'PRINT SHEET'!$K$9:$K$245)+SUMIF('PRINT SHEET'!$F$9:$F$245,$D14&amp;"-STUDx*-"&amp;$F14,'PRINT SHEET'!$K$9:$K$245)</f>
        <v>0</v>
      </c>
    </row>
    <row r="15" spans="4:10" x14ac:dyDescent="0.25">
      <c r="D15" s="163" t="s">
        <v>21</v>
      </c>
      <c r="E15" s="164"/>
      <c r="F15" s="7" t="s">
        <v>829</v>
      </c>
      <c r="G15" s="154">
        <f>SUMIF('PRINT SHEET'!$F$9:$F$245,$D15&amp;"x*-"&amp;$F15,'PRINT SHEET'!$H$9:$H$245)+SUMIF('PRINT SHEET'!$F$9:$F$245,$D15&amp;"-STUDx*-"&amp;$F15,'PRINT SHEET'!$H$9:$H$245)</f>
        <v>2345</v>
      </c>
      <c r="H15" s="7">
        <f>SUMIF('PRINT SHEET'!$F$9:$F$245,$D15&amp;"x*-"&amp;$F15,'PRINT SHEET'!$I$9:$I$245)+SUMIF('PRINT SHEET'!$F$9:$F$245,$D15&amp;"-STUDx*-"&amp;$F15,'PRINT SHEET'!$I$9:$I$245)</f>
        <v>4020</v>
      </c>
      <c r="I15" s="7">
        <f>SUMIF('PRINT SHEET'!$F$9:$F$245,$D15&amp;"x*-"&amp;$F15,'PRINT SHEET'!$J$9:$J$245)+SUMIF('PRINT SHEET'!$F$9:$F$245,$D15&amp;"-STUDx*-"&amp;$F15,'PRINT SHEET'!$J$9:$J$245)</f>
        <v>1142</v>
      </c>
      <c r="J15" s="7">
        <f>SUMIF('PRINT SHEET'!$F$9:$F$245,$D15&amp;"x*-"&amp;$F15,'PRINT SHEET'!$K$9:$K$245)+SUMIF('PRINT SHEET'!$F$9:$F$245,$D15&amp;"-STUDx*-"&amp;$F15,'PRINT SHEET'!$K$9:$K$245)</f>
        <v>15</v>
      </c>
    </row>
    <row r="16" spans="4:10" x14ac:dyDescent="0.25">
      <c r="D16" s="163" t="s">
        <v>21</v>
      </c>
      <c r="E16" s="164"/>
      <c r="F16" s="7" t="s">
        <v>53</v>
      </c>
      <c r="G16" s="154">
        <f>SUMIF('PRINT SHEET'!$F$9:$F$245,$D16&amp;"x*-"&amp;$F16,'PRINT SHEET'!$H$9:$H$245)+SUMIF('PRINT SHEET'!$F$9:$F$245,$D16&amp;"-STUDx*-"&amp;$F16,'PRINT SHEET'!$H$9:$H$245)</f>
        <v>2</v>
      </c>
      <c r="H16" s="7">
        <f>SUMIF('PRINT SHEET'!$F$9:$F$245,$D16&amp;"x*-"&amp;$F16,'PRINT SHEET'!$I$9:$I$245)+SUMIF('PRINT SHEET'!$F$9:$F$245,$D16&amp;"-STUDx*-"&amp;$F16,'PRINT SHEET'!$I$9:$I$245)</f>
        <v>4</v>
      </c>
      <c r="I16" s="7">
        <f>SUMIF('PRINT SHEET'!$F$9:$F$245,$D16&amp;"x*-"&amp;$F16,'PRINT SHEET'!$J$9:$J$245)+SUMIF('PRINT SHEET'!$F$9:$F$245,$D16&amp;"-STUDx*-"&amp;$F16,'PRINT SHEET'!$J$9:$J$245)</f>
        <v>0</v>
      </c>
      <c r="J16" s="7">
        <f>SUMIF('PRINT SHEET'!$F$9:$F$245,$D16&amp;"x*-"&amp;$F16,'PRINT SHEET'!$K$9:$K$245)+SUMIF('PRINT SHEET'!$F$9:$F$245,$D16&amp;"-STUDx*-"&amp;$F16,'PRINT SHEET'!$K$9:$K$245)</f>
        <v>0</v>
      </c>
    </row>
    <row r="17" spans="4:12" x14ac:dyDescent="0.25">
      <c r="D17" s="163" t="s">
        <v>22</v>
      </c>
      <c r="E17" s="164"/>
      <c r="F17" s="7" t="s">
        <v>829</v>
      </c>
      <c r="G17" s="154">
        <f>SUMIF('PRINT SHEET'!$F$9:$F$245,$D17&amp;"x*-"&amp;$F17,'PRINT SHEET'!$H$9:$H$245)+SUMIF('PRINT SHEET'!$F$9:$F$245,$D17&amp;"-STUDx*-"&amp;$F17,'PRINT SHEET'!$H$9:$H$245)</f>
        <v>1298</v>
      </c>
      <c r="H17" s="7">
        <f>SUMIF('PRINT SHEET'!$F$9:$F$245,$D17&amp;"x*-"&amp;$F17,'PRINT SHEET'!$I$9:$I$245)+SUMIF('PRINT SHEET'!$F$9:$F$245,$D17&amp;"-STUDx*-"&amp;$F17,'PRINT SHEET'!$I$9:$I$245)</f>
        <v>2390</v>
      </c>
      <c r="I17" s="7">
        <f>SUMIF('PRINT SHEET'!$F$9:$F$245,$D17&amp;"x*-"&amp;$F17,'PRINT SHEET'!$J$9:$J$245)+SUMIF('PRINT SHEET'!$F$9:$F$245,$D17&amp;"-STUDx*-"&amp;$F17,'PRINT SHEET'!$J$9:$J$245)</f>
        <v>210</v>
      </c>
      <c r="J17" s="7">
        <f>SUMIF('PRINT SHEET'!$F$9:$F$245,$D17&amp;"x*-"&amp;$F17,'PRINT SHEET'!$K$9:$K$245)+SUMIF('PRINT SHEET'!$F$9:$F$245,$D17&amp;"-STUDx*-"&amp;$F17,'PRINT SHEET'!$K$9:$K$245)</f>
        <v>0</v>
      </c>
    </row>
    <row r="18" spans="4:12" x14ac:dyDescent="0.25">
      <c r="D18" s="163" t="s">
        <v>23</v>
      </c>
      <c r="E18" s="164"/>
      <c r="F18" s="7" t="s">
        <v>829</v>
      </c>
      <c r="G18" s="154">
        <f>SUMIF('PRINT SHEET'!$F$9:$F$245,$D18&amp;"x*-"&amp;$F18,'PRINT SHEET'!$H$9:$H$245)+SUMIF('PRINT SHEET'!$F$9:$F$245,$D18&amp;"-STUDx*-"&amp;$F18,'PRINT SHEET'!$H$9:$H$245)</f>
        <v>285</v>
      </c>
      <c r="H18" s="7">
        <f>SUMIF('PRINT SHEET'!$F$9:$F$245,$D18&amp;"x*-"&amp;$F18,'PRINT SHEET'!$I$9:$I$245)+SUMIF('PRINT SHEET'!$F$9:$F$245,$D18&amp;"-STUDx*-"&amp;$F18,'PRINT SHEET'!$I$9:$I$245)</f>
        <v>426</v>
      </c>
      <c r="I18" s="7">
        <f>SUMIF('PRINT SHEET'!$F$9:$F$245,$D18&amp;"x*-"&amp;$F18,'PRINT SHEET'!$J$9:$J$245)+SUMIF('PRINT SHEET'!$F$9:$F$245,$D18&amp;"-STUDx*-"&amp;$F18,'PRINT SHEET'!$J$9:$J$245)</f>
        <v>164</v>
      </c>
      <c r="J18" s="7">
        <f>SUMIF('PRINT SHEET'!$F$9:$F$245,$D18&amp;"x*-"&amp;$F18,'PRINT SHEET'!$K$9:$K$245)+SUMIF('PRINT SHEET'!$F$9:$F$245,$D18&amp;"-STUDx*-"&amp;$F18,'PRINT SHEET'!$K$9:$K$245)</f>
        <v>16</v>
      </c>
      <c r="L18" t="s">
        <v>840</v>
      </c>
    </row>
    <row r="19" spans="4:12" x14ac:dyDescent="0.25">
      <c r="D19" s="163" t="s">
        <v>24</v>
      </c>
      <c r="E19" s="164"/>
      <c r="F19" s="7" t="s">
        <v>829</v>
      </c>
      <c r="G19" s="154">
        <f>SUMIF('PRINT SHEET'!$F$9:$F$245,$D19&amp;"x*-"&amp;$F19,'PRINT SHEET'!$H$9:$H$245)+SUMIF('PRINT SHEET'!$F$9:$F$245,$D19&amp;"-STUDx*-"&amp;$F19,'PRINT SHEET'!$H$9:$H$245)</f>
        <v>147</v>
      </c>
      <c r="H19" s="7">
        <f>SUMIF('PRINT SHEET'!$F$9:$F$245,$D19&amp;"x*-"&amp;$F19,'PRINT SHEET'!$I$9:$I$245)+SUMIF('PRINT SHEET'!$F$9:$F$245,$D19&amp;"-STUDx*-"&amp;$F19,'PRINT SHEET'!$I$9:$I$245)</f>
        <v>274</v>
      </c>
      <c r="I19" s="7">
        <f>SUMIF('PRINT SHEET'!$F$9:$F$245,$D19&amp;"x*-"&amp;$F19,'PRINT SHEET'!$J$9:$J$245)+SUMIF('PRINT SHEET'!$F$9:$F$245,$D19&amp;"-STUDx*-"&amp;$F19,'PRINT SHEET'!$J$9:$J$245)</f>
        <v>10</v>
      </c>
      <c r="J19" s="7">
        <f>SUMIF('PRINT SHEET'!$F$9:$F$245,$D19&amp;"x*-"&amp;$F19,'PRINT SHEET'!$K$9:$K$245)+SUMIF('PRINT SHEET'!$F$9:$F$245,$D19&amp;"-STUDx*-"&amp;$F19,'PRINT SHEET'!$K$9:$K$245)</f>
        <v>0</v>
      </c>
    </row>
    <row r="20" spans="4:12" hidden="1" x14ac:dyDescent="0.25">
      <c r="D20" s="163"/>
      <c r="E20" s="164"/>
      <c r="F20" s="7"/>
      <c r="G20" s="154"/>
      <c r="H20" s="7"/>
      <c r="I20" s="7"/>
      <c r="J20" s="7"/>
    </row>
    <row r="21" spans="4:12" hidden="1" x14ac:dyDescent="0.25">
      <c r="D21" s="163"/>
      <c r="E21" s="164"/>
      <c r="F21" s="7"/>
      <c r="G21" s="154"/>
      <c r="H21" s="7"/>
      <c r="I21" s="7"/>
      <c r="J21" s="7"/>
    </row>
    <row r="22" spans="4:12" hidden="1" x14ac:dyDescent="0.25">
      <c r="D22" s="163"/>
      <c r="E22" s="164"/>
      <c r="F22" s="7"/>
      <c r="G22" s="154"/>
      <c r="H22" s="7"/>
      <c r="I22" s="7"/>
      <c r="J22" s="7"/>
    </row>
    <row r="23" spans="4:12" hidden="1" x14ac:dyDescent="0.25">
      <c r="D23" s="163"/>
      <c r="E23" s="164"/>
      <c r="F23" s="7"/>
      <c r="G23" s="154"/>
      <c r="H23" s="7"/>
      <c r="I23" s="7"/>
      <c r="J23" s="7"/>
    </row>
    <row r="24" spans="4:12" hidden="1" x14ac:dyDescent="0.25">
      <c r="D24" s="163"/>
      <c r="E24" s="164"/>
      <c r="F24" s="7"/>
      <c r="G24" s="154"/>
      <c r="H24" s="7"/>
      <c r="I24" s="7"/>
      <c r="J24" s="7"/>
    </row>
    <row r="25" spans="4:12" hidden="1" x14ac:dyDescent="0.25">
      <c r="D25" s="163"/>
      <c r="E25" s="164"/>
      <c r="F25" s="7"/>
      <c r="G25" s="154"/>
      <c r="H25" s="7"/>
      <c r="I25" s="7"/>
      <c r="J25" s="7"/>
    </row>
    <row r="26" spans="4:12" hidden="1" x14ac:dyDescent="0.25">
      <c r="D26" s="163"/>
      <c r="E26" s="164"/>
      <c r="F26" s="7"/>
      <c r="G26" s="154"/>
      <c r="H26" s="7"/>
      <c r="I26" s="7"/>
      <c r="J26" s="7"/>
    </row>
    <row r="27" spans="4:12" hidden="1" x14ac:dyDescent="0.25">
      <c r="D27" s="163"/>
      <c r="E27" s="164"/>
      <c r="F27" s="7"/>
      <c r="G27" s="154"/>
      <c r="H27" s="7"/>
      <c r="I27" s="7"/>
      <c r="J27" s="7"/>
    </row>
    <row r="28" spans="4:12" hidden="1" x14ac:dyDescent="0.25">
      <c r="D28" s="163"/>
      <c r="E28" s="164"/>
      <c r="F28" s="7"/>
      <c r="G28" s="154"/>
      <c r="H28" s="7"/>
      <c r="I28" s="7"/>
      <c r="J28" s="7"/>
    </row>
    <row r="29" spans="4:12" hidden="1" x14ac:dyDescent="0.25">
      <c r="D29" s="163"/>
      <c r="E29" s="164"/>
      <c r="F29" s="7"/>
      <c r="G29" s="154"/>
      <c r="H29" s="7"/>
      <c r="I29" s="7"/>
      <c r="J29" s="7"/>
    </row>
    <row r="30" spans="4:12" hidden="1" x14ac:dyDescent="0.25">
      <c r="D30" s="163"/>
      <c r="E30" s="164"/>
      <c r="F30" s="7"/>
      <c r="G30" s="154"/>
      <c r="H30" s="7"/>
      <c r="I30" s="7"/>
      <c r="J30" s="7"/>
    </row>
    <row r="31" spans="4:12" hidden="1" x14ac:dyDescent="0.25">
      <c r="D31" s="163"/>
      <c r="E31" s="164"/>
      <c r="F31" s="7"/>
      <c r="G31" s="154"/>
      <c r="H31" s="7"/>
      <c r="I31" s="7"/>
      <c r="J31" s="7"/>
    </row>
    <row r="32" spans="4:12" hidden="1" x14ac:dyDescent="0.25">
      <c r="D32" s="163"/>
      <c r="E32" s="164"/>
      <c r="F32" s="7"/>
      <c r="G32" s="154"/>
      <c r="H32" s="7"/>
      <c r="I32" s="7"/>
      <c r="J32" s="7"/>
    </row>
    <row r="33" spans="4:10" hidden="1" x14ac:dyDescent="0.25">
      <c r="D33" s="163"/>
      <c r="E33" s="164"/>
      <c r="F33" s="7"/>
      <c r="G33" s="154"/>
      <c r="H33" s="7"/>
      <c r="I33" s="7"/>
      <c r="J33" s="7"/>
    </row>
    <row r="34" spans="4:10" hidden="1" x14ac:dyDescent="0.25">
      <c r="D34" s="163"/>
      <c r="E34" s="164"/>
      <c r="F34" s="7"/>
      <c r="G34" s="154"/>
      <c r="H34" s="7"/>
      <c r="I34" s="7"/>
      <c r="J34" s="7"/>
    </row>
    <row r="35" spans="4:10" x14ac:dyDescent="0.25">
      <c r="D35" s="177"/>
      <c r="E35" s="164"/>
      <c r="F35" s="7"/>
      <c r="G35" s="7"/>
      <c r="H35" s="7"/>
      <c r="I35" s="7"/>
      <c r="J35" s="7"/>
    </row>
    <row r="36" spans="4:10" x14ac:dyDescent="0.25">
      <c r="D36" s="176" t="s">
        <v>25</v>
      </c>
      <c r="E36" s="165"/>
      <c r="F36" s="156" t="s">
        <v>11</v>
      </c>
      <c r="G36" s="174" t="s">
        <v>26</v>
      </c>
      <c r="H36" s="165"/>
      <c r="I36" s="165"/>
      <c r="J36" s="164"/>
    </row>
    <row r="37" spans="4:10" x14ac:dyDescent="0.25">
      <c r="D37" s="163" t="s">
        <v>27</v>
      </c>
      <c r="E37" s="164"/>
      <c r="F37" s="7" t="s">
        <v>829</v>
      </c>
      <c r="G37" s="163">
        <f>SUMIF('PRINT SHEET'!$F$9:$F$245,$D37&amp;"-"&amp;$F37,'PRINT SHEET'!$G$9:$G$245)</f>
        <v>48</v>
      </c>
      <c r="H37" s="165"/>
      <c r="I37" s="165"/>
      <c r="J37" s="164"/>
    </row>
    <row r="38" spans="4:10" x14ac:dyDescent="0.25">
      <c r="D38" s="163" t="s">
        <v>29</v>
      </c>
      <c r="E38" s="164"/>
      <c r="F38" s="7" t="s">
        <v>829</v>
      </c>
      <c r="G38" s="163">
        <f>SUMIF('PRINT SHEET'!$F$9:$F$245,$D38&amp;"-"&amp;$F38,'PRINT SHEET'!$G$9:$G$245)</f>
        <v>8</v>
      </c>
      <c r="H38" s="165"/>
      <c r="I38" s="165"/>
      <c r="J38" s="164"/>
    </row>
    <row r="39" spans="4:10" x14ac:dyDescent="0.25">
      <c r="D39" s="163" t="s">
        <v>52</v>
      </c>
      <c r="E39" s="164"/>
      <c r="F39" s="7" t="s">
        <v>829</v>
      </c>
      <c r="G39" s="163">
        <f>SUMIF('PRINT SHEET'!$F$9:$F$245,$D39&amp;"-"&amp;$F39,'PRINT SHEET'!$G$9:$G$245)</f>
        <v>1</v>
      </c>
      <c r="H39" s="165"/>
      <c r="I39" s="165"/>
      <c r="J39" s="164"/>
    </row>
    <row r="40" spans="4:10" x14ac:dyDescent="0.25">
      <c r="D40" s="163" t="s">
        <v>51</v>
      </c>
      <c r="E40" s="164"/>
      <c r="F40" s="7" t="s">
        <v>829</v>
      </c>
      <c r="G40" s="163">
        <f>SUMIF('PRINT SHEET'!$F$9:$F$245,$D40&amp;"-"&amp;$F40,'PRINT SHEET'!$G$9:$G$245)</f>
        <v>63</v>
      </c>
      <c r="H40" s="165"/>
      <c r="I40" s="165"/>
      <c r="J40" s="164"/>
    </row>
    <row r="41" spans="4:10" x14ac:dyDescent="0.25">
      <c r="D41" s="163" t="s">
        <v>50</v>
      </c>
      <c r="E41" s="164"/>
      <c r="F41" s="7" t="s">
        <v>829</v>
      </c>
      <c r="G41" s="163">
        <f>SUMIF('PRINT SHEET'!$F$9:$F$245,$D41&amp;"-"&amp;$F41,'PRINT SHEET'!$G$9:$G$245)</f>
        <v>12</v>
      </c>
      <c r="H41" s="165"/>
      <c r="I41" s="165"/>
      <c r="J41" s="164"/>
    </row>
    <row r="42" spans="4:10" x14ac:dyDescent="0.25">
      <c r="D42" s="163" t="s">
        <v>30</v>
      </c>
      <c r="E42" s="164"/>
      <c r="F42" s="7" t="s">
        <v>829</v>
      </c>
      <c r="G42" s="163">
        <f>SUMIF('PRINT SHEET'!$F$9:$F$245,$D42&amp;"-"&amp;$F42,'PRINT SHEET'!$G$9:$G$245)</f>
        <v>64</v>
      </c>
      <c r="H42" s="165"/>
      <c r="I42" s="165"/>
      <c r="J42" s="164"/>
    </row>
    <row r="43" spans="4:10" x14ac:dyDescent="0.25">
      <c r="D43" s="163" t="s">
        <v>830</v>
      </c>
      <c r="E43" s="164"/>
      <c r="F43" s="7" t="s">
        <v>829</v>
      </c>
      <c r="G43" s="163">
        <f>SUMIF('PRINT SHEET'!$F$9:$F$245,$D43&amp;"-"&amp;$F43,'PRINT SHEET'!$G$9:$G$245)</f>
        <v>8</v>
      </c>
      <c r="H43" s="165"/>
      <c r="I43" s="165"/>
      <c r="J43" s="164"/>
    </row>
    <row r="44" spans="4:10" x14ac:dyDescent="0.25">
      <c r="D44" s="163" t="s">
        <v>31</v>
      </c>
      <c r="E44" s="164"/>
      <c r="F44" s="7" t="s">
        <v>829</v>
      </c>
      <c r="G44" s="163">
        <f>SUMIF('PRINT SHEET'!$F$9:$F$245,$D44&amp;"-"&amp;$F44,'PRINT SHEET'!$G$9:$G$245)</f>
        <v>156</v>
      </c>
      <c r="H44" s="165"/>
      <c r="I44" s="165"/>
      <c r="J44" s="164"/>
    </row>
    <row r="45" spans="4:10" x14ac:dyDescent="0.25">
      <c r="D45" s="163" t="s">
        <v>32</v>
      </c>
      <c r="E45" s="164"/>
      <c r="F45" s="7" t="s">
        <v>829</v>
      </c>
      <c r="G45" s="163">
        <f>SUMIF('PRINT SHEET'!$F$9:$F$245,$D45&amp;"-"&amp;$F45,'PRINT SHEET'!$G$9:$G$245)</f>
        <v>357</v>
      </c>
      <c r="H45" s="165"/>
      <c r="I45" s="165"/>
      <c r="J45" s="164"/>
    </row>
    <row r="46" spans="4:10" x14ac:dyDescent="0.25">
      <c r="D46" s="163" t="s">
        <v>33</v>
      </c>
      <c r="E46" s="164"/>
      <c r="F46" s="7" t="s">
        <v>829</v>
      </c>
      <c r="G46" s="163">
        <f>SUMIF('PRINT SHEET'!$F$9:$F$245,$D46&amp;"-"&amp;$F46,'PRINT SHEET'!$G$9:$G$245)</f>
        <v>1078</v>
      </c>
      <c r="H46" s="165"/>
      <c r="I46" s="165"/>
      <c r="J46" s="164"/>
    </row>
    <row r="47" spans="4:10" x14ac:dyDescent="0.25">
      <c r="D47" s="163" t="s">
        <v>33</v>
      </c>
      <c r="E47" s="164"/>
      <c r="F47" s="7" t="s">
        <v>53</v>
      </c>
      <c r="G47" s="163">
        <f>SUMIF('PRINT SHEET'!$F$9:$F$245,$D47&amp;"-"&amp;$F47,'PRINT SHEET'!$G$9:$G$245)</f>
        <v>2</v>
      </c>
      <c r="H47" s="165"/>
      <c r="I47" s="165"/>
      <c r="J47" s="164"/>
    </row>
    <row r="48" spans="4:10" x14ac:dyDescent="0.25">
      <c r="D48" s="163" t="s">
        <v>34</v>
      </c>
      <c r="E48" s="164"/>
      <c r="F48" s="7" t="s">
        <v>829</v>
      </c>
      <c r="G48" s="163">
        <f>SUMIF('PRINT SHEET'!$F$9:$F$245,$D48&amp;"-"&amp;$F48,'PRINT SHEET'!$G$9:$G$245)</f>
        <v>24</v>
      </c>
      <c r="H48" s="165"/>
      <c r="I48" s="165"/>
      <c r="J48" s="164"/>
    </row>
    <row r="49" spans="4:10" x14ac:dyDescent="0.25">
      <c r="D49" s="163" t="s">
        <v>35</v>
      </c>
      <c r="E49" s="164"/>
      <c r="F49" s="7" t="s">
        <v>829</v>
      </c>
      <c r="G49" s="163">
        <f>SUMIF('PRINT SHEET'!$F$9:$F$245,$D49&amp;"-"&amp;$F49,'PRINT SHEET'!$G$9:$G$245)</f>
        <v>72</v>
      </c>
      <c r="H49" s="165"/>
      <c r="I49" s="165"/>
      <c r="J49" s="164"/>
    </row>
    <row r="50" spans="4:10" x14ac:dyDescent="0.25">
      <c r="D50" s="163" t="s">
        <v>49</v>
      </c>
      <c r="E50" s="164"/>
      <c r="F50" s="7" t="s">
        <v>829</v>
      </c>
      <c r="G50" s="163">
        <f>SUMIF('PRINT SHEET'!$F$9:$F$245,$D50&amp;"-"&amp;$F50,'PRINT SHEET'!$G$9:$G$245)</f>
        <v>40</v>
      </c>
      <c r="H50" s="165"/>
      <c r="I50" s="165"/>
      <c r="J50" s="164"/>
    </row>
    <row r="51" spans="4:10" x14ac:dyDescent="0.25">
      <c r="D51" s="163" t="s">
        <v>36</v>
      </c>
      <c r="E51" s="164"/>
      <c r="F51" s="7" t="s">
        <v>829</v>
      </c>
      <c r="G51" s="163">
        <f>SUMIF('PRINT SHEET'!$F$9:$F$245,$D51&amp;"-"&amp;$F51,'PRINT SHEET'!$G$9:$G$245)</f>
        <v>782</v>
      </c>
      <c r="H51" s="165"/>
      <c r="I51" s="165"/>
      <c r="J51" s="164"/>
    </row>
    <row r="52" spans="4:10" x14ac:dyDescent="0.25">
      <c r="D52" s="163" t="s">
        <v>37</v>
      </c>
      <c r="E52" s="164"/>
      <c r="F52" s="7" t="s">
        <v>829</v>
      </c>
      <c r="G52" s="163">
        <f>SUMIF('PRINT SHEET'!$F$9:$F$245,$D52&amp;"-"&amp;$F52,'PRINT SHEET'!$G$9:$G$245)</f>
        <v>4</v>
      </c>
      <c r="H52" s="165"/>
      <c r="I52" s="165"/>
      <c r="J52" s="164"/>
    </row>
    <row r="53" spans="4:10" x14ac:dyDescent="0.25">
      <c r="D53" s="163" t="s">
        <v>38</v>
      </c>
      <c r="E53" s="164"/>
      <c r="F53" s="7" t="s">
        <v>829</v>
      </c>
      <c r="G53" s="163">
        <f>SUMIF('PRINT SHEET'!$F$9:$F$245,$D53&amp;"-"&amp;$F53,'PRINT SHEET'!$G$9:$G$245)</f>
        <v>257</v>
      </c>
      <c r="H53" s="165"/>
      <c r="I53" s="165"/>
      <c r="J53" s="164"/>
    </row>
    <row r="54" spans="4:10" x14ac:dyDescent="0.25">
      <c r="D54" s="163" t="s">
        <v>39</v>
      </c>
      <c r="E54" s="164"/>
      <c r="F54" s="7" t="s">
        <v>829</v>
      </c>
      <c r="G54" s="163">
        <f>SUMIF('PRINT SHEET'!$F$9:$F$245,$D54&amp;"-"&amp;$F54,'PRINT SHEET'!$G$9:$G$245)</f>
        <v>60</v>
      </c>
      <c r="H54" s="165"/>
      <c r="I54" s="165"/>
      <c r="J54" s="164"/>
    </row>
    <row r="55" spans="4:10" x14ac:dyDescent="0.25">
      <c r="D55" s="163" t="s">
        <v>831</v>
      </c>
      <c r="E55" s="164"/>
      <c r="F55" s="7" t="s">
        <v>829</v>
      </c>
      <c r="G55" s="163">
        <f>SUMIF('PRINT SHEET'!$F$9:$F$245,$D55&amp;"-"&amp;$F55,'PRINT SHEET'!$G$9:$G$245)</f>
        <v>32</v>
      </c>
      <c r="H55" s="165"/>
      <c r="I55" s="165"/>
      <c r="J55" s="164"/>
    </row>
    <row r="56" spans="4:10" x14ac:dyDescent="0.25">
      <c r="D56" s="163" t="s">
        <v>40</v>
      </c>
      <c r="E56" s="164"/>
      <c r="F56" s="7" t="s">
        <v>829</v>
      </c>
      <c r="G56" s="163">
        <f>SUMIF('PRINT SHEET'!$F$9:$F$245,$D56&amp;"-"&amp;$F56,'PRINT SHEET'!$G$9:$G$245)</f>
        <v>16</v>
      </c>
      <c r="H56" s="165"/>
      <c r="I56" s="165"/>
      <c r="J56" s="164"/>
    </row>
    <row r="57" spans="4:10" x14ac:dyDescent="0.25">
      <c r="D57" s="163" t="s">
        <v>832</v>
      </c>
      <c r="E57" s="164"/>
      <c r="F57" s="7" t="s">
        <v>829</v>
      </c>
      <c r="G57" s="163">
        <f>SUMIF('PRINT SHEET'!$F$9:$F$245,$D57&amp;"-"&amp;$F57,'PRINT SHEET'!$G$9:$G$245)</f>
        <v>8</v>
      </c>
      <c r="H57" s="165"/>
      <c r="I57" s="165"/>
      <c r="J57" s="164"/>
    </row>
    <row r="58" spans="4:10" x14ac:dyDescent="0.25">
      <c r="D58" s="163" t="s">
        <v>41</v>
      </c>
      <c r="E58" s="164"/>
      <c r="F58" s="7" t="s">
        <v>829</v>
      </c>
      <c r="G58" s="163">
        <f>SUMIF('PRINT SHEET'!$F$9:$F$245,$D58&amp;"-"&amp;$F58,'PRINT SHEET'!$G$9:$G$245)</f>
        <v>30</v>
      </c>
      <c r="H58" s="165"/>
      <c r="I58" s="165"/>
      <c r="J58" s="164"/>
    </row>
    <row r="59" spans="4:10" x14ac:dyDescent="0.25">
      <c r="D59" s="163" t="s">
        <v>833</v>
      </c>
      <c r="E59" s="164"/>
      <c r="F59" s="7" t="s">
        <v>829</v>
      </c>
      <c r="G59" s="163">
        <f>SUMIF('PRINT SHEET'!$F$9:$F$245,$D59&amp;"-"&amp;$F59,'PRINT SHEET'!$G$9:$G$245)</f>
        <v>123</v>
      </c>
      <c r="H59" s="165"/>
      <c r="I59" s="165"/>
      <c r="J59" s="164"/>
    </row>
    <row r="60" spans="4:10" x14ac:dyDescent="0.25">
      <c r="D60" s="163" t="s">
        <v>42</v>
      </c>
      <c r="E60" s="164"/>
      <c r="F60" s="7" t="s">
        <v>829</v>
      </c>
      <c r="G60" s="163">
        <f>SUMIF('PRINT SHEET'!$F$9:$F$245,$D60&amp;"-"&amp;$F60,'PRINT SHEET'!$G$9:$G$245)</f>
        <v>2</v>
      </c>
      <c r="H60" s="165"/>
      <c r="I60" s="165"/>
      <c r="J60" s="164"/>
    </row>
    <row r="61" spans="4:10" x14ac:dyDescent="0.25">
      <c r="D61" s="163" t="s">
        <v>43</v>
      </c>
      <c r="E61" s="164"/>
      <c r="F61" s="7" t="s">
        <v>829</v>
      </c>
      <c r="G61" s="163">
        <f>SUMIF('PRINT SHEET'!$F$9:$F$245,$D61&amp;"-"&amp;$F61,'PRINT SHEET'!$G$9:$G$245)</f>
        <v>48</v>
      </c>
      <c r="H61" s="165"/>
      <c r="I61" s="165"/>
      <c r="J61" s="164"/>
    </row>
    <row r="62" spans="4:10" x14ac:dyDescent="0.25">
      <c r="D62" s="163" t="s">
        <v>44</v>
      </c>
      <c r="E62" s="164"/>
      <c r="F62" s="7" t="s">
        <v>829</v>
      </c>
      <c r="G62" s="163">
        <f>SUMIF('PRINT SHEET'!$F$9:$F$245,$D62&amp;"-"&amp;$F62,'PRINT SHEET'!$G$9:$G$245)</f>
        <v>24</v>
      </c>
      <c r="H62" s="165"/>
      <c r="I62" s="165"/>
      <c r="J62" s="164"/>
    </row>
    <row r="63" spans="4:10" x14ac:dyDescent="0.25">
      <c r="D63" s="163" t="s">
        <v>45</v>
      </c>
      <c r="E63" s="164"/>
      <c r="F63" s="7" t="s">
        <v>829</v>
      </c>
      <c r="G63" s="163">
        <f>SUMIF('PRINT SHEET'!$F$9:$F$245,$D63&amp;"-"&amp;$F63,'PRINT SHEET'!$G$9:$G$245)</f>
        <v>20</v>
      </c>
      <c r="H63" s="165"/>
      <c r="I63" s="165"/>
      <c r="J63" s="164"/>
    </row>
    <row r="64" spans="4:10" x14ac:dyDescent="0.25">
      <c r="D64" s="163" t="s">
        <v>46</v>
      </c>
      <c r="E64" s="164"/>
      <c r="F64" s="7" t="s">
        <v>829</v>
      </c>
      <c r="G64" s="163">
        <f>SUMIF('PRINT SHEET'!$F$9:$F$245,$D64&amp;"-"&amp;$F64,'PRINT SHEET'!$G$9:$G$245)</f>
        <v>125</v>
      </c>
      <c r="H64" s="165"/>
      <c r="I64" s="165"/>
      <c r="J64" s="164"/>
    </row>
    <row r="65" spans="4:10" x14ac:dyDescent="0.25">
      <c r="D65" s="163" t="s">
        <v>47</v>
      </c>
      <c r="E65" s="164"/>
      <c r="F65" s="7" t="s">
        <v>829</v>
      </c>
      <c r="G65" s="163">
        <f>SUMIF('PRINT SHEET'!$F$9:$F$245,$D65&amp;"-"&amp;$F65,'PRINT SHEET'!$G$9:$G$245)</f>
        <v>2</v>
      </c>
      <c r="H65" s="165"/>
      <c r="I65" s="165"/>
      <c r="J65" s="164"/>
    </row>
    <row r="66" spans="4:10" x14ac:dyDescent="0.25">
      <c r="D66" s="163" t="s">
        <v>48</v>
      </c>
      <c r="E66" s="164"/>
      <c r="F66" s="7" t="s">
        <v>829</v>
      </c>
      <c r="G66" s="163">
        <f>SUMIF('PRINT SHEET'!$F$9:$F$245,$D66&amp;"-"&amp;$F66,'PRINT SHEET'!$G$9:$G$245)</f>
        <v>10</v>
      </c>
      <c r="H66" s="165"/>
      <c r="I66" s="165"/>
      <c r="J66" s="164"/>
    </row>
    <row r="67" spans="4:10" hidden="1" x14ac:dyDescent="0.25">
      <c r="D67" s="163"/>
      <c r="E67" s="164"/>
      <c r="F67" s="7"/>
      <c r="G67" s="163"/>
      <c r="H67" s="165"/>
      <c r="I67" s="165"/>
      <c r="J67" s="164"/>
    </row>
    <row r="68" spans="4:10" hidden="1" x14ac:dyDescent="0.25">
      <c r="D68" s="163"/>
      <c r="E68" s="164"/>
      <c r="F68" s="7"/>
      <c r="G68" s="163"/>
      <c r="H68" s="165"/>
      <c r="I68" s="165"/>
      <c r="J68" s="164"/>
    </row>
    <row r="69" spans="4:10" hidden="1" x14ac:dyDescent="0.25">
      <c r="D69" s="163"/>
      <c r="E69" s="164"/>
      <c r="F69" s="7"/>
      <c r="G69" s="163"/>
      <c r="H69" s="165"/>
      <c r="I69" s="165"/>
      <c r="J69" s="164"/>
    </row>
    <row r="70" spans="4:10" hidden="1" x14ac:dyDescent="0.25">
      <c r="D70" s="163"/>
      <c r="E70" s="164"/>
      <c r="F70" s="7"/>
      <c r="G70" s="163"/>
      <c r="H70" s="165"/>
      <c r="I70" s="165"/>
      <c r="J70" s="164"/>
    </row>
    <row r="71" spans="4:10" hidden="1" x14ac:dyDescent="0.25">
      <c r="D71" s="163"/>
      <c r="E71" s="164"/>
      <c r="F71" s="7"/>
      <c r="G71" s="163"/>
      <c r="H71" s="165"/>
      <c r="I71" s="165"/>
      <c r="J71" s="164"/>
    </row>
    <row r="72" spans="4:10" hidden="1" x14ac:dyDescent="0.25">
      <c r="D72" s="163"/>
      <c r="E72" s="164"/>
      <c r="F72" s="7"/>
      <c r="G72" s="163"/>
      <c r="H72" s="165"/>
      <c r="I72" s="165"/>
      <c r="J72" s="164"/>
    </row>
    <row r="73" spans="4:10" hidden="1" x14ac:dyDescent="0.25">
      <c r="D73" s="163"/>
      <c r="E73" s="164"/>
      <c r="F73" s="7"/>
      <c r="G73" s="163"/>
      <c r="H73" s="165"/>
      <c r="I73" s="165"/>
      <c r="J73" s="164"/>
    </row>
    <row r="74" spans="4:10" hidden="1" x14ac:dyDescent="0.25">
      <c r="D74" s="163"/>
      <c r="E74" s="164"/>
      <c r="F74" s="7"/>
      <c r="G74" s="163"/>
      <c r="H74" s="165"/>
      <c r="I74" s="165"/>
      <c r="J74" s="164"/>
    </row>
    <row r="75" spans="4:10" hidden="1" x14ac:dyDescent="0.25">
      <c r="D75" s="163"/>
      <c r="E75" s="164"/>
      <c r="F75" s="7"/>
      <c r="G75" s="163"/>
      <c r="H75" s="165"/>
      <c r="I75" s="165"/>
      <c r="J75" s="164"/>
    </row>
    <row r="76" spans="4:10" hidden="1" x14ac:dyDescent="0.25">
      <c r="D76" s="163"/>
      <c r="E76" s="164"/>
      <c r="F76" s="7"/>
      <c r="G76" s="163"/>
      <c r="H76" s="165"/>
      <c r="I76" s="165"/>
      <c r="J76" s="164"/>
    </row>
    <row r="77" spans="4:10" hidden="1" x14ac:dyDescent="0.25">
      <c r="D77" s="163"/>
      <c r="E77" s="164"/>
      <c r="F77" s="7"/>
      <c r="G77" s="163"/>
      <c r="H77" s="165"/>
      <c r="I77" s="165"/>
      <c r="J77" s="164"/>
    </row>
    <row r="78" spans="4:10" hidden="1" x14ac:dyDescent="0.25">
      <c r="D78" s="163"/>
      <c r="E78" s="164"/>
      <c r="F78" s="7"/>
      <c r="G78" s="163"/>
      <c r="H78" s="165"/>
      <c r="I78" s="165"/>
      <c r="J78" s="164"/>
    </row>
    <row r="79" spans="4:10" hidden="1" x14ac:dyDescent="0.25">
      <c r="D79" s="163"/>
      <c r="E79" s="164"/>
      <c r="F79" s="7"/>
      <c r="G79" s="163"/>
      <c r="H79" s="165"/>
      <c r="I79" s="165"/>
      <c r="J79" s="164"/>
    </row>
    <row r="80" spans="4:10" hidden="1" x14ac:dyDescent="0.25">
      <c r="D80" s="163"/>
      <c r="E80" s="164"/>
      <c r="F80" s="7"/>
      <c r="G80" s="163"/>
      <c r="H80" s="165"/>
      <c r="I80" s="165"/>
      <c r="J80" s="164"/>
    </row>
    <row r="81" spans="4:10" hidden="1" x14ac:dyDescent="0.25">
      <c r="D81" s="163"/>
      <c r="E81" s="164"/>
      <c r="F81" s="7"/>
      <c r="G81" s="163"/>
      <c r="H81" s="165"/>
      <c r="I81" s="165"/>
      <c r="J81" s="164"/>
    </row>
    <row r="82" spans="4:10" hidden="1" x14ac:dyDescent="0.25">
      <c r="D82" s="163"/>
      <c r="E82" s="164"/>
      <c r="F82" s="7"/>
      <c r="G82" s="163"/>
      <c r="H82" s="165"/>
      <c r="I82" s="165"/>
      <c r="J82" s="164"/>
    </row>
    <row r="83" spans="4:10" hidden="1" x14ac:dyDescent="0.25">
      <c r="D83" s="163"/>
      <c r="E83" s="164"/>
      <c r="F83" s="7"/>
      <c r="G83" s="163"/>
      <c r="H83" s="165"/>
      <c r="I83" s="165"/>
      <c r="J83" s="164"/>
    </row>
    <row r="84" spans="4:10" hidden="1" x14ac:dyDescent="0.25">
      <c r="D84" s="163"/>
      <c r="E84" s="164"/>
      <c r="F84" s="7"/>
      <c r="G84" s="163"/>
      <c r="H84" s="165"/>
      <c r="I84" s="165"/>
      <c r="J84" s="164"/>
    </row>
    <row r="85" spans="4:10" hidden="1" x14ac:dyDescent="0.25">
      <c r="D85" s="163"/>
      <c r="E85" s="164"/>
      <c r="F85" s="7"/>
      <c r="G85" s="163"/>
      <c r="H85" s="165"/>
      <c r="I85" s="165"/>
      <c r="J85" s="164"/>
    </row>
    <row r="86" spans="4:10" hidden="1" x14ac:dyDescent="0.25">
      <c r="D86" s="163"/>
      <c r="E86" s="164"/>
      <c r="F86" s="7"/>
      <c r="G86" s="163"/>
      <c r="H86" s="165"/>
      <c r="I86" s="165"/>
      <c r="J86" s="164"/>
    </row>
    <row r="87" spans="4:10" hidden="1" x14ac:dyDescent="0.25">
      <c r="D87" s="163"/>
      <c r="E87" s="164"/>
      <c r="F87" s="7"/>
      <c r="G87" s="163"/>
      <c r="H87" s="165"/>
      <c r="I87" s="165"/>
      <c r="J87" s="164"/>
    </row>
    <row r="88" spans="4:10" hidden="1" x14ac:dyDescent="0.25">
      <c r="D88" s="163"/>
      <c r="E88" s="164"/>
      <c r="F88" s="7"/>
      <c r="G88" s="163"/>
      <c r="H88" s="165"/>
      <c r="I88" s="165"/>
      <c r="J88" s="164"/>
    </row>
    <row r="89" spans="4:10" hidden="1" x14ac:dyDescent="0.25">
      <c r="D89" s="163"/>
      <c r="E89" s="164"/>
      <c r="F89" s="7"/>
      <c r="G89" s="163"/>
      <c r="H89" s="165"/>
      <c r="I89" s="165"/>
      <c r="J89" s="164"/>
    </row>
    <row r="90" spans="4:10" hidden="1" x14ac:dyDescent="0.25">
      <c r="D90" s="163"/>
      <c r="E90" s="164"/>
      <c r="F90" s="7"/>
      <c r="G90" s="163"/>
      <c r="H90" s="165"/>
      <c r="I90" s="165"/>
      <c r="J90" s="164"/>
    </row>
    <row r="91" spans="4:10" hidden="1" x14ac:dyDescent="0.25">
      <c r="D91" s="163"/>
      <c r="E91" s="164"/>
      <c r="F91" s="7"/>
      <c r="G91" s="163"/>
      <c r="H91" s="165"/>
      <c r="I91" s="165"/>
      <c r="J91" s="164"/>
    </row>
    <row r="92" spans="4:10" hidden="1" x14ac:dyDescent="0.25">
      <c r="D92" s="163"/>
      <c r="E92" s="164"/>
      <c r="F92" s="7"/>
      <c r="G92" s="163"/>
      <c r="H92" s="165"/>
      <c r="I92" s="165"/>
      <c r="J92" s="164"/>
    </row>
    <row r="93" spans="4:10" hidden="1" x14ac:dyDescent="0.25">
      <c r="D93" s="163"/>
      <c r="E93" s="164"/>
      <c r="F93" s="7"/>
      <c r="G93" s="163"/>
      <c r="H93" s="165"/>
      <c r="I93" s="165"/>
      <c r="J93" s="164"/>
    </row>
    <row r="94" spans="4:10" hidden="1" x14ac:dyDescent="0.25">
      <c r="D94" s="163"/>
      <c r="E94" s="164"/>
      <c r="F94" s="7"/>
      <c r="G94" s="163"/>
      <c r="H94" s="165"/>
      <c r="I94" s="165"/>
      <c r="J94" s="164"/>
    </row>
    <row r="95" spans="4:10" hidden="1" x14ac:dyDescent="0.25">
      <c r="D95" s="163"/>
      <c r="E95" s="164"/>
      <c r="F95" s="7"/>
      <c r="G95" s="163"/>
      <c r="H95" s="165"/>
      <c r="I95" s="165"/>
      <c r="J95" s="164"/>
    </row>
    <row r="96" spans="4:10" hidden="1" x14ac:dyDescent="0.25">
      <c r="D96" s="163"/>
      <c r="E96" s="164"/>
      <c r="F96" s="7"/>
      <c r="G96" s="163"/>
      <c r="H96" s="165"/>
      <c r="I96" s="165"/>
      <c r="J96" s="164"/>
    </row>
    <row r="97" spans="4:10" x14ac:dyDescent="0.25">
      <c r="D97" s="163"/>
      <c r="E97" s="164"/>
      <c r="F97" s="7"/>
      <c r="G97" s="163"/>
      <c r="H97" s="165"/>
      <c r="I97" s="165"/>
      <c r="J97" s="164"/>
    </row>
    <row r="98" spans="4:10" x14ac:dyDescent="0.25">
      <c r="D98" s="176" t="s">
        <v>54</v>
      </c>
      <c r="E98" s="165"/>
      <c r="F98" s="156" t="s">
        <v>11</v>
      </c>
      <c r="G98" s="174" t="s">
        <v>55</v>
      </c>
      <c r="H98" s="165"/>
      <c r="I98" s="165"/>
      <c r="J98" s="164"/>
    </row>
    <row r="99" spans="4:10" x14ac:dyDescent="0.25">
      <c r="D99" s="163" t="s">
        <v>834</v>
      </c>
      <c r="E99" s="164"/>
      <c r="F99" s="7" t="s">
        <v>829</v>
      </c>
      <c r="G99" s="163">
        <f>SUMIF('PRINT SHEET'!$F$9:$F$245,$D99&amp;"-"&amp;$F99,'PRINT SHEET'!$G$9:$G$245)</f>
        <v>8</v>
      </c>
      <c r="H99" s="165"/>
      <c r="I99" s="165"/>
      <c r="J99" s="164"/>
    </row>
    <row r="100" spans="4:10" x14ac:dyDescent="0.25">
      <c r="D100" s="163" t="s">
        <v>835</v>
      </c>
      <c r="E100" s="164"/>
      <c r="F100" s="7" t="s">
        <v>829</v>
      </c>
      <c r="G100" s="163">
        <f>SUMIF('PRINT SHEET'!$F$9:$F$245,$D100&amp;"-"&amp;$F100,'PRINT SHEET'!$G$9:$G$245)</f>
        <v>6</v>
      </c>
      <c r="H100" s="165"/>
      <c r="I100" s="165"/>
      <c r="J100" s="164"/>
    </row>
    <row r="101" spans="4:10" x14ac:dyDescent="0.25">
      <c r="D101" s="163" t="s">
        <v>836</v>
      </c>
      <c r="E101" s="164"/>
      <c r="F101" s="7" t="s">
        <v>829</v>
      </c>
      <c r="G101" s="163">
        <f>SUMIF('PRINT SHEET'!$F$9:$F$245,$D101&amp;"-"&amp;$F101,'PRINT SHEET'!$G$9:$G$245)</f>
        <v>12</v>
      </c>
      <c r="H101" s="165"/>
      <c r="I101" s="165"/>
      <c r="J101" s="164"/>
    </row>
    <row r="102" spans="4:10" x14ac:dyDescent="0.25">
      <c r="D102" s="163" t="s">
        <v>837</v>
      </c>
      <c r="E102" s="164"/>
      <c r="F102" s="7" t="s">
        <v>829</v>
      </c>
      <c r="G102" s="163">
        <f>SUMIF('PRINT SHEET'!$F$9:$F$245,$D102&amp;"-"&amp;$F102,'PRINT SHEET'!$G$9:$G$245)</f>
        <v>12</v>
      </c>
      <c r="H102" s="165"/>
      <c r="I102" s="165"/>
      <c r="J102" s="164"/>
    </row>
    <row r="103" spans="4:10" x14ac:dyDescent="0.25">
      <c r="D103" s="163" t="s">
        <v>838</v>
      </c>
      <c r="E103" s="164"/>
      <c r="F103" s="7" t="s">
        <v>829</v>
      </c>
      <c r="G103" s="163">
        <f>SUMIF('PRINT SHEET'!$F$9:$F$245,$D103&amp;"-"&amp;$F103,'PRINT SHEET'!$G$9:$G$245)</f>
        <v>8</v>
      </c>
      <c r="H103" s="165"/>
      <c r="I103" s="165"/>
      <c r="J103" s="164"/>
    </row>
    <row r="104" spans="4:10" x14ac:dyDescent="0.25">
      <c r="D104" s="163" t="s">
        <v>839</v>
      </c>
      <c r="E104" s="164"/>
      <c r="F104" s="7" t="s">
        <v>829</v>
      </c>
      <c r="G104" s="163">
        <f>SUMIF('PRINT SHEET'!$F$9:$F$245,$D104&amp;"-"&amp;$F104,'PRINT SHEET'!$G$9:$G$245)</f>
        <v>16</v>
      </c>
      <c r="H104" s="165"/>
      <c r="I104" s="165"/>
      <c r="J104" s="164"/>
    </row>
    <row r="105" spans="4:10" hidden="1" x14ac:dyDescent="0.25">
      <c r="D105" s="163"/>
      <c r="E105" s="164"/>
      <c r="F105" s="7"/>
      <c r="G105" s="163"/>
      <c r="H105" s="165"/>
      <c r="I105" s="165"/>
      <c r="J105" s="164"/>
    </row>
    <row r="106" spans="4:10" hidden="1" x14ac:dyDescent="0.25">
      <c r="D106" s="163"/>
      <c r="E106" s="164"/>
      <c r="F106" s="7"/>
      <c r="G106" s="163"/>
      <c r="H106" s="165"/>
      <c r="I106" s="165"/>
      <c r="J106" s="164"/>
    </row>
    <row r="107" spans="4:10" hidden="1" x14ac:dyDescent="0.25">
      <c r="D107" s="163"/>
      <c r="E107" s="164"/>
      <c r="F107" s="7"/>
      <c r="G107" s="163"/>
      <c r="H107" s="165"/>
      <c r="I107" s="165"/>
      <c r="J107" s="164"/>
    </row>
    <row r="108" spans="4:10" hidden="1" x14ac:dyDescent="0.25">
      <c r="D108" s="163"/>
      <c r="E108" s="164"/>
      <c r="F108" s="7"/>
      <c r="G108" s="163"/>
      <c r="H108" s="165"/>
      <c r="I108" s="165"/>
      <c r="J108" s="164"/>
    </row>
    <row r="109" spans="4:10" hidden="1" x14ac:dyDescent="0.25">
      <c r="D109" s="163"/>
      <c r="E109" s="164"/>
      <c r="F109" s="7"/>
      <c r="G109" s="163"/>
      <c r="H109" s="165"/>
      <c r="I109" s="165"/>
      <c r="J109" s="164"/>
    </row>
    <row r="110" spans="4:10" hidden="1" x14ac:dyDescent="0.25">
      <c r="D110" s="163"/>
      <c r="E110" s="164"/>
      <c r="F110" s="7"/>
      <c r="G110" s="163"/>
      <c r="H110" s="165"/>
      <c r="I110" s="165"/>
      <c r="J110" s="164"/>
    </row>
    <row r="111" spans="4:10" hidden="1" x14ac:dyDescent="0.25">
      <c r="D111" s="163"/>
      <c r="E111" s="164"/>
      <c r="F111" s="7"/>
      <c r="G111" s="163"/>
      <c r="H111" s="165"/>
      <c r="I111" s="165"/>
      <c r="J111" s="164"/>
    </row>
    <row r="112" spans="4:10" hidden="1" x14ac:dyDescent="0.25">
      <c r="D112" s="163"/>
      <c r="E112" s="164"/>
      <c r="F112" s="7"/>
      <c r="G112" s="163"/>
      <c r="H112" s="165"/>
      <c r="I112" s="165"/>
      <c r="J112" s="164"/>
    </row>
    <row r="113" spans="2:10" hidden="1" x14ac:dyDescent="0.25">
      <c r="D113" s="163"/>
      <c r="E113" s="164"/>
      <c r="F113" s="7"/>
      <c r="G113" s="163"/>
      <c r="H113" s="165"/>
      <c r="I113" s="165"/>
      <c r="J113" s="164"/>
    </row>
    <row r="114" spans="2:10" hidden="1" x14ac:dyDescent="0.25">
      <c r="D114" s="163"/>
      <c r="E114" s="164"/>
      <c r="F114" s="7"/>
      <c r="G114" s="163"/>
      <c r="H114" s="165"/>
      <c r="I114" s="165"/>
      <c r="J114" s="164"/>
    </row>
    <row r="115" spans="2:10" hidden="1" x14ac:dyDescent="0.25">
      <c r="D115" s="163"/>
      <c r="E115" s="164"/>
      <c r="F115" s="7"/>
      <c r="G115" s="163"/>
      <c r="H115" s="165"/>
      <c r="I115" s="165"/>
      <c r="J115" s="164"/>
    </row>
    <row r="116" spans="2:10" hidden="1" x14ac:dyDescent="0.25">
      <c r="D116" s="163"/>
      <c r="E116" s="164"/>
      <c r="F116" s="7"/>
      <c r="G116" s="163"/>
      <c r="H116" s="165"/>
      <c r="I116" s="165"/>
      <c r="J116" s="164"/>
    </row>
    <row r="117" spans="2:10" hidden="1" x14ac:dyDescent="0.25">
      <c r="D117" s="163"/>
      <c r="E117" s="164"/>
      <c r="F117" s="7"/>
      <c r="G117" s="163"/>
      <c r="H117" s="165"/>
      <c r="I117" s="165"/>
      <c r="J117" s="164"/>
    </row>
    <row r="118" spans="2:10" hidden="1" x14ac:dyDescent="0.25">
      <c r="D118" s="163"/>
      <c r="E118" s="164"/>
      <c r="F118" s="7"/>
      <c r="G118" s="163"/>
      <c r="H118" s="165"/>
      <c r="I118" s="165"/>
      <c r="J118" s="164"/>
    </row>
    <row r="119" spans="2:10" hidden="1" x14ac:dyDescent="0.25">
      <c r="D119" s="163"/>
      <c r="E119" s="164"/>
      <c r="F119" s="7"/>
      <c r="G119" s="163"/>
      <c r="H119" s="165"/>
      <c r="I119" s="165"/>
      <c r="J119" s="164"/>
    </row>
    <row r="120" spans="2:10" hidden="1" x14ac:dyDescent="0.25">
      <c r="D120" s="163"/>
      <c r="E120" s="164"/>
      <c r="F120" s="7"/>
      <c r="G120" s="163"/>
      <c r="H120" s="165"/>
      <c r="I120" s="165"/>
      <c r="J120" s="164"/>
    </row>
    <row r="121" spans="2:10" hidden="1" x14ac:dyDescent="0.25">
      <c r="D121" s="163"/>
      <c r="E121" s="164"/>
      <c r="F121" s="7"/>
      <c r="G121" s="163"/>
      <c r="H121" s="165"/>
      <c r="I121" s="165"/>
      <c r="J121" s="164"/>
    </row>
    <row r="122" spans="2:10" hidden="1" x14ac:dyDescent="0.25">
      <c r="D122" s="163"/>
      <c r="E122" s="164"/>
      <c r="F122" s="7"/>
      <c r="G122" s="163"/>
      <c r="H122" s="165"/>
      <c r="I122" s="165"/>
      <c r="J122" s="164"/>
    </row>
    <row r="123" spans="2:10" hidden="1" x14ac:dyDescent="0.25">
      <c r="D123" s="163"/>
      <c r="E123" s="164"/>
      <c r="F123" s="7"/>
      <c r="G123" s="163"/>
      <c r="H123" s="165"/>
      <c r="I123" s="165"/>
      <c r="J123" s="164"/>
    </row>
    <row r="124" spans="2:10" hidden="1" x14ac:dyDescent="0.25">
      <c r="D124" s="163"/>
      <c r="E124" s="164"/>
      <c r="F124" s="7"/>
      <c r="G124" s="163"/>
      <c r="H124" s="165"/>
      <c r="I124" s="165"/>
      <c r="J124" s="164"/>
    </row>
    <row r="125" spans="2:10" hidden="1" x14ac:dyDescent="0.25">
      <c r="D125" s="163"/>
      <c r="E125" s="164"/>
      <c r="F125" s="7"/>
      <c r="G125" s="163"/>
      <c r="H125" s="165"/>
      <c r="I125" s="165"/>
      <c r="J125" s="164"/>
    </row>
    <row r="126" spans="2:10" x14ac:dyDescent="0.25">
      <c r="D126" s="163"/>
      <c r="E126" s="164"/>
      <c r="F126" s="7"/>
      <c r="G126" s="163"/>
      <c r="H126" s="165"/>
      <c r="I126" s="165"/>
      <c r="J126" s="164"/>
    </row>
    <row r="127" spans="2:10" x14ac:dyDescent="0.25">
      <c r="B127" s="3" t="s">
        <v>56</v>
      </c>
      <c r="D127" s="111" t="s">
        <v>57</v>
      </c>
    </row>
    <row r="128" spans="2:10" x14ac:dyDescent="0.25">
      <c r="B128" s="3" t="s">
        <v>56</v>
      </c>
      <c r="D128" s="111" t="s">
        <v>58</v>
      </c>
    </row>
    <row r="129" spans="2:10" x14ac:dyDescent="0.25">
      <c r="B129" s="3" t="s">
        <v>56</v>
      </c>
      <c r="D129" s="111"/>
    </row>
    <row r="130" spans="2:10" x14ac:dyDescent="0.25">
      <c r="B130" s="3" t="s">
        <v>56</v>
      </c>
      <c r="D130" s="120" t="s">
        <v>59</v>
      </c>
      <c r="E130" s="178" t="s">
        <v>60</v>
      </c>
      <c r="F130" s="165"/>
      <c r="G130" s="175" t="s">
        <v>61</v>
      </c>
      <c r="H130" s="165"/>
      <c r="I130" s="165"/>
      <c r="J130" s="164"/>
    </row>
    <row r="131" spans="2:10" x14ac:dyDescent="0.25">
      <c r="B131" s="3" t="s">
        <v>56</v>
      </c>
      <c r="D131" s="7" t="s">
        <v>62</v>
      </c>
      <c r="E131" s="179" t="s">
        <v>63</v>
      </c>
      <c r="F131" s="165"/>
      <c r="G131" s="163" t="s">
        <v>62</v>
      </c>
      <c r="H131" s="165"/>
      <c r="I131" s="165"/>
      <c r="J131" s="164"/>
    </row>
  </sheetData>
  <mergeCells count="217">
    <mergeCell ref="E130:F130"/>
    <mergeCell ref="G92:J92"/>
    <mergeCell ref="D33:E33"/>
    <mergeCell ref="E131:F131"/>
    <mergeCell ref="D92:E92"/>
    <mergeCell ref="G55:J55"/>
    <mergeCell ref="G114:J114"/>
    <mergeCell ref="D111:E111"/>
    <mergeCell ref="G87:J87"/>
    <mergeCell ref="G124:J124"/>
    <mergeCell ref="G49:J49"/>
    <mergeCell ref="D66:E66"/>
    <mergeCell ref="G89:J89"/>
    <mergeCell ref="D116:E116"/>
    <mergeCell ref="G83:J83"/>
    <mergeCell ref="G111:J111"/>
    <mergeCell ref="G73:J73"/>
    <mergeCell ref="G117:J117"/>
    <mergeCell ref="D50:E50"/>
    <mergeCell ref="G61:J61"/>
    <mergeCell ref="D96:E96"/>
    <mergeCell ref="G91:J91"/>
    <mergeCell ref="D51:E51"/>
    <mergeCell ref="D118:E118"/>
    <mergeCell ref="D13:E13"/>
    <mergeCell ref="G96:J96"/>
    <mergeCell ref="G99:J99"/>
    <mergeCell ref="D76:E76"/>
    <mergeCell ref="D85:E85"/>
    <mergeCell ref="D63:E63"/>
    <mergeCell ref="G86:J86"/>
    <mergeCell ref="D87:E87"/>
    <mergeCell ref="D93:E93"/>
    <mergeCell ref="G40:J40"/>
    <mergeCell ref="D46:E46"/>
    <mergeCell ref="D65:E65"/>
    <mergeCell ref="D41:E41"/>
    <mergeCell ref="G66:J66"/>
    <mergeCell ref="G70:J70"/>
    <mergeCell ref="D94:E94"/>
    <mergeCell ref="G80:J80"/>
    <mergeCell ref="G51:J51"/>
    <mergeCell ref="G57:J57"/>
    <mergeCell ref="G94:J94"/>
    <mergeCell ref="G88:J88"/>
    <mergeCell ref="D20:E20"/>
    <mergeCell ref="D21:E21"/>
    <mergeCell ref="D22:E22"/>
    <mergeCell ref="D34:E34"/>
    <mergeCell ref="D38:E38"/>
    <mergeCell ref="D78:E78"/>
    <mergeCell ref="D39:E39"/>
    <mergeCell ref="D79:E79"/>
    <mergeCell ref="D48:E48"/>
    <mergeCell ref="D101:E101"/>
    <mergeCell ref="D88:E88"/>
    <mergeCell ref="D42:E42"/>
    <mergeCell ref="D37:E37"/>
    <mergeCell ref="G47:J47"/>
    <mergeCell ref="D102:E102"/>
    <mergeCell ref="G44:J44"/>
    <mergeCell ref="G50:J50"/>
    <mergeCell ref="D49:E49"/>
    <mergeCell ref="D77:E77"/>
    <mergeCell ref="D71:E71"/>
    <mergeCell ref="D86:E86"/>
    <mergeCell ref="D53:E53"/>
    <mergeCell ref="D44:E44"/>
    <mergeCell ref="D91:E91"/>
    <mergeCell ref="D58:E58"/>
    <mergeCell ref="G60:J60"/>
    <mergeCell ref="G52:J52"/>
    <mergeCell ref="D52:E52"/>
    <mergeCell ref="D60:E60"/>
    <mergeCell ref="D59:E59"/>
    <mergeCell ref="D74:E74"/>
    <mergeCell ref="D81:E81"/>
    <mergeCell ref="D14:E14"/>
    <mergeCell ref="D18:E18"/>
    <mergeCell ref="D40:E40"/>
    <mergeCell ref="G58:J58"/>
    <mergeCell ref="G67:J67"/>
    <mergeCell ref="D56:E56"/>
    <mergeCell ref="D100:E100"/>
    <mergeCell ref="D35:E35"/>
    <mergeCell ref="D75:E75"/>
    <mergeCell ref="D36:E36"/>
    <mergeCell ref="D47:E47"/>
    <mergeCell ref="G42:J42"/>
    <mergeCell ref="D73:E73"/>
    <mergeCell ref="G43:J43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54:E54"/>
    <mergeCell ref="G77:J77"/>
    <mergeCell ref="D126:E126"/>
    <mergeCell ref="D90:E90"/>
    <mergeCell ref="G82:J82"/>
    <mergeCell ref="G131:J131"/>
    <mergeCell ref="D67:E67"/>
    <mergeCell ref="D122:E122"/>
    <mergeCell ref="D61:E61"/>
    <mergeCell ref="G69:J69"/>
    <mergeCell ref="D55:E55"/>
    <mergeCell ref="D95:E95"/>
    <mergeCell ref="G78:J78"/>
    <mergeCell ref="G56:J56"/>
    <mergeCell ref="D114:E114"/>
    <mergeCell ref="G65:J65"/>
    <mergeCell ref="G109:J109"/>
    <mergeCell ref="D98:E98"/>
    <mergeCell ref="D107:E107"/>
    <mergeCell ref="G71:J71"/>
    <mergeCell ref="D72:E72"/>
    <mergeCell ref="G108:J108"/>
    <mergeCell ref="D80:E80"/>
    <mergeCell ref="D99:E99"/>
    <mergeCell ref="D123:E123"/>
    <mergeCell ref="D110:E110"/>
    <mergeCell ref="G74:J74"/>
    <mergeCell ref="G100:J100"/>
    <mergeCell ref="D106:E106"/>
    <mergeCell ref="D17:E17"/>
    <mergeCell ref="G120:J120"/>
    <mergeCell ref="G126:J126"/>
    <mergeCell ref="G54:J54"/>
    <mergeCell ref="G125:J125"/>
    <mergeCell ref="D109:E109"/>
    <mergeCell ref="D43:E43"/>
    <mergeCell ref="G104:J104"/>
    <mergeCell ref="G119:J119"/>
    <mergeCell ref="D105:E105"/>
    <mergeCell ref="D124:E124"/>
    <mergeCell ref="D89:E89"/>
    <mergeCell ref="D120:E120"/>
    <mergeCell ref="D70:E70"/>
    <mergeCell ref="D45:E45"/>
    <mergeCell ref="G93:J93"/>
    <mergeCell ref="G121:J121"/>
    <mergeCell ref="G53:J53"/>
    <mergeCell ref="D121:E121"/>
    <mergeCell ref="G59:J59"/>
    <mergeCell ref="G90:J90"/>
    <mergeCell ref="D104:E104"/>
    <mergeCell ref="G64:J64"/>
    <mergeCell ref="G113:J113"/>
    <mergeCell ref="D103:E103"/>
    <mergeCell ref="G110:J110"/>
    <mergeCell ref="G107:J107"/>
    <mergeCell ref="G130:J130"/>
    <mergeCell ref="G118:J118"/>
    <mergeCell ref="D119:E119"/>
    <mergeCell ref="D68:E68"/>
    <mergeCell ref="G76:J76"/>
    <mergeCell ref="D62:E62"/>
    <mergeCell ref="G85:J85"/>
    <mergeCell ref="G63:J63"/>
    <mergeCell ref="D82:E82"/>
    <mergeCell ref="D69:E69"/>
    <mergeCell ref="D97:E97"/>
    <mergeCell ref="G95:J95"/>
    <mergeCell ref="G98:J98"/>
    <mergeCell ref="D125:E125"/>
    <mergeCell ref="G122:J122"/>
    <mergeCell ref="G123:J123"/>
    <mergeCell ref="D115:E115"/>
    <mergeCell ref="G72:J72"/>
    <mergeCell ref="G81:J81"/>
    <mergeCell ref="D117:E117"/>
    <mergeCell ref="G68:J68"/>
    <mergeCell ref="G112:J112"/>
    <mergeCell ref="G62:J62"/>
    <mergeCell ref="G105:J105"/>
    <mergeCell ref="G116:J116"/>
    <mergeCell ref="G103:J103"/>
    <mergeCell ref="G97:J97"/>
    <mergeCell ref="G101:J101"/>
    <mergeCell ref="D64:E64"/>
    <mergeCell ref="G102:J102"/>
    <mergeCell ref="D108:E108"/>
    <mergeCell ref="G75:J75"/>
    <mergeCell ref="G106:J106"/>
    <mergeCell ref="G115:J115"/>
    <mergeCell ref="D113:E113"/>
    <mergeCell ref="D112:E112"/>
    <mergeCell ref="I4:J4"/>
    <mergeCell ref="D83:E83"/>
    <mergeCell ref="D57:E57"/>
    <mergeCell ref="G84:J84"/>
    <mergeCell ref="G45:J45"/>
    <mergeCell ref="G9:J9"/>
    <mergeCell ref="D2:E4"/>
    <mergeCell ref="F2:G4"/>
    <mergeCell ref="G46:J46"/>
    <mergeCell ref="D84:E84"/>
    <mergeCell ref="G79:J79"/>
    <mergeCell ref="D9:E9"/>
    <mergeCell ref="D15:E15"/>
    <mergeCell ref="G39:J39"/>
    <mergeCell ref="G48:J48"/>
    <mergeCell ref="D12:E12"/>
    <mergeCell ref="G38:J38"/>
    <mergeCell ref="G41:J41"/>
    <mergeCell ref="D10:E10"/>
    <mergeCell ref="D19:E19"/>
    <mergeCell ref="G37:J37"/>
    <mergeCell ref="D11:E11"/>
    <mergeCell ref="G36:J36"/>
    <mergeCell ref="D16:E16"/>
  </mergeCells>
  <printOptions horizontalCentered="1"/>
  <pageMargins left="0.51181102362204722" right="0.51181102362204722" top="0.51181102362204722" bottom="0.51181102362204722" header="0.31496062992125978" footer="0.31496062992125978"/>
  <pageSetup paperSize="9" scale="7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RefreshFinalSheet">
              <controlPr defaultSize="0" print="0" autoFill="0" autoPict="0" macro="RebuildFinalSheet">
                <anchor moveWithCells="1">
                  <from>
                    <xdr:col>11</xdr:col>
                    <xdr:colOff>0</xdr:colOff>
                    <xdr:row>9</xdr:row>
                    <xdr:rowOff>0</xdr:rowOff>
                  </from>
                  <to>
                    <xdr:col>13</xdr:col>
                    <xdr:colOff>152400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 filterMode="1"/>
  <dimension ref="B1:R343"/>
  <sheetViews>
    <sheetView view="pageBreakPreview" zoomScale="115" zoomScaleNormal="115" zoomScaleSheetLayoutView="115" workbookViewId="0">
      <selection activeCell="F78" sqref="F78:L78"/>
    </sheetView>
  </sheetViews>
  <sheetFormatPr defaultRowHeight="15" x14ac:dyDescent="0.25"/>
  <cols>
    <col min="1" max="2" width="2.42578125" customWidth="1"/>
    <col min="3" max="3" width="14.42578125" customWidth="1"/>
    <col min="4" max="4" width="13.42578125" customWidth="1"/>
    <col min="5" max="5" width="11.85546875" customWidth="1"/>
    <col min="6" max="6" width="16" customWidth="1"/>
    <col min="7" max="7" width="9.7109375" customWidth="1"/>
    <col min="8" max="8" width="4.140625" hidden="1" customWidth="1"/>
    <col min="9" max="9" width="5.5703125" customWidth="1"/>
    <col min="10" max="10" width="6.140625" customWidth="1"/>
    <col min="11" max="11" width="4.7109375" customWidth="1"/>
    <col min="12" max="12" width="6.140625" customWidth="1"/>
    <col min="13" max="13" width="2.5703125" customWidth="1"/>
    <col min="14" max="18" width="9.140625" customWidth="1"/>
  </cols>
  <sheetData>
    <row r="1" spans="2:14" x14ac:dyDescent="0.25">
      <c r="C1" s="4"/>
      <c r="D1" s="4"/>
      <c r="E1" s="3"/>
      <c r="F1" s="4"/>
      <c r="G1" s="3"/>
      <c r="H1" s="3"/>
      <c r="I1" s="3"/>
      <c r="J1" s="3"/>
      <c r="K1" s="3"/>
      <c r="L1" s="5"/>
    </row>
    <row r="2" spans="2:14" ht="15.75" customHeight="1" x14ac:dyDescent="0.25">
      <c r="C2" s="4" t="s">
        <v>741</v>
      </c>
      <c r="D2" s="4"/>
      <c r="E2" s="3"/>
      <c r="F2" s="30"/>
      <c r="G2" s="3"/>
      <c r="H2" s="3"/>
      <c r="I2" s="3"/>
      <c r="J2" s="3"/>
      <c r="K2" s="3"/>
      <c r="L2" s="5"/>
    </row>
    <row r="3" spans="2:14" x14ac:dyDescent="0.25">
      <c r="C3" s="4" t="s">
        <v>742</v>
      </c>
      <c r="D3" s="4"/>
      <c r="E3" s="3"/>
      <c r="F3" s="4"/>
      <c r="G3" s="3"/>
      <c r="H3" s="3"/>
      <c r="I3" s="3"/>
      <c r="J3" s="3"/>
      <c r="K3" s="3"/>
      <c r="L3" s="5"/>
    </row>
    <row r="4" spans="2:14" ht="15.75" customHeight="1" thickBot="1" x14ac:dyDescent="0.3">
      <c r="C4" s="4"/>
      <c r="D4" s="4"/>
      <c r="E4" s="3"/>
      <c r="F4" s="4"/>
      <c r="G4" s="3"/>
      <c r="H4" s="3"/>
      <c r="I4" s="3"/>
      <c r="J4" s="3"/>
      <c r="K4" s="3"/>
      <c r="L4" s="5"/>
    </row>
    <row r="5" spans="2:14" x14ac:dyDescent="0.25">
      <c r="C5" s="26"/>
      <c r="D5" s="25"/>
      <c r="E5" s="22"/>
      <c r="F5" s="226" t="s">
        <v>743</v>
      </c>
      <c r="G5" s="227"/>
      <c r="H5" s="22"/>
      <c r="I5" s="230" t="s">
        <v>744</v>
      </c>
      <c r="J5" s="231"/>
      <c r="K5" s="234" t="s">
        <v>745</v>
      </c>
      <c r="L5" s="231"/>
    </row>
    <row r="6" spans="2:14" x14ac:dyDescent="0.25">
      <c r="C6" s="27"/>
      <c r="D6" s="4"/>
      <c r="E6" s="3"/>
      <c r="F6" s="170"/>
      <c r="G6" s="224"/>
      <c r="H6" s="3"/>
      <c r="I6" s="49" t="e">
        <f>#REF!</f>
        <v>#REF!</v>
      </c>
      <c r="J6" s="3"/>
      <c r="K6" s="3"/>
      <c r="L6" s="23"/>
    </row>
    <row r="7" spans="2:14" x14ac:dyDescent="0.25">
      <c r="C7" s="27"/>
      <c r="D7" s="4"/>
      <c r="E7" s="3"/>
      <c r="F7" s="171"/>
      <c r="G7" s="228"/>
      <c r="H7" s="3"/>
      <c r="I7" s="225" t="s">
        <v>3</v>
      </c>
      <c r="J7" s="169"/>
      <c r="K7" s="238" t="e">
        <f>#REF!</f>
        <v>#REF!</v>
      </c>
      <c r="L7" s="169"/>
    </row>
    <row r="8" spans="2:14" x14ac:dyDescent="0.25">
      <c r="C8" s="32" t="s">
        <v>4</v>
      </c>
      <c r="D8" s="50" t="e">
        <f>#REF!</f>
        <v>#REF!</v>
      </c>
      <c r="E8" s="7" t="s">
        <v>5</v>
      </c>
      <c r="F8" s="229" t="e">
        <f>#REF!</f>
        <v>#REF!</v>
      </c>
      <c r="G8" s="165"/>
      <c r="H8" s="165"/>
      <c r="I8" s="165"/>
      <c r="J8" s="165"/>
      <c r="K8" s="165"/>
      <c r="L8" s="215"/>
    </row>
    <row r="9" spans="2:14" ht="15.75" customHeight="1" thickBot="1" x14ac:dyDescent="0.3">
      <c r="C9" s="33" t="s">
        <v>6</v>
      </c>
      <c r="D9" s="35" t="e">
        <f>#REF!</f>
        <v>#REF!</v>
      </c>
      <c r="E9" s="24" t="s">
        <v>7</v>
      </c>
      <c r="F9" s="240" t="e">
        <f>#REF!</f>
        <v>#REF!</v>
      </c>
      <c r="G9" s="236"/>
      <c r="H9" s="236"/>
      <c r="I9" s="236"/>
      <c r="J9" s="236"/>
      <c r="K9" s="236"/>
      <c r="L9" s="237"/>
    </row>
    <row r="10" spans="2:14" ht="15.75" customHeight="1" thickBot="1" x14ac:dyDescent="0.3"/>
    <row r="11" spans="2:14" ht="15.75" customHeight="1" thickBot="1" x14ac:dyDescent="0.3">
      <c r="B11">
        <f t="shared" ref="B11:B74" si="0">IF(N11=0,0,1)</f>
        <v>1</v>
      </c>
      <c r="C11" s="36" t="s">
        <v>404</v>
      </c>
      <c r="D11" s="37" t="s">
        <v>746</v>
      </c>
      <c r="E11" s="38" t="s">
        <v>747</v>
      </c>
      <c r="F11" s="38" t="s">
        <v>73</v>
      </c>
      <c r="G11" s="39" t="s">
        <v>11</v>
      </c>
      <c r="H11" s="40"/>
      <c r="I11" s="220" t="s">
        <v>748</v>
      </c>
      <c r="J11" s="212"/>
      <c r="K11" s="212"/>
      <c r="L11" s="213"/>
      <c r="N11">
        <v>1</v>
      </c>
    </row>
    <row r="12" spans="2:14" s="45" customFormat="1" ht="12.95" customHeight="1" x14ac:dyDescent="0.25">
      <c r="B12" s="45" t="e">
        <f t="shared" si="0"/>
        <v>#REF!</v>
      </c>
      <c r="C12" s="41" t="e">
        <f>'TANK HARDWARE'!#REF!</f>
        <v>#REF!</v>
      </c>
      <c r="D12" s="42" t="e">
        <f>'TANK HARDWARE'!O255+#REF!</f>
        <v>#REF!</v>
      </c>
      <c r="E12" s="42" t="e">
        <f>'TANK HARDWARE'!#REF!+#REF!</f>
        <v>#REF!</v>
      </c>
      <c r="F12" s="42" t="e">
        <f>'TANK HARDWARE'!R255+#REF!</f>
        <v>#REF!</v>
      </c>
      <c r="G12" s="42" t="e">
        <f>#REF!</f>
        <v>#REF!</v>
      </c>
      <c r="I12" s="217" t="e">
        <f>'TANK HARDWARE'!#REF!+#REF!</f>
        <v>#REF!</v>
      </c>
      <c r="J12" s="218"/>
      <c r="K12" s="218"/>
      <c r="L12" s="219"/>
      <c r="N12" s="45" t="e">
        <f t="shared" ref="N12:N22" si="1">D12+E12+F12+I12</f>
        <v>#REF!</v>
      </c>
    </row>
    <row r="13" spans="2:14" s="45" customFormat="1" ht="12.95" customHeight="1" x14ac:dyDescent="0.25">
      <c r="B13" s="45" t="e">
        <f t="shared" si="0"/>
        <v>#REF!</v>
      </c>
      <c r="C13" s="43" t="e">
        <f>'TANK HARDWARE'!#REF!</f>
        <v>#REF!</v>
      </c>
      <c r="D13" s="44" t="e">
        <f>'TANK HARDWARE'!O256+#REF!</f>
        <v>#REF!</v>
      </c>
      <c r="E13" s="44" t="e">
        <f>'TANK HARDWARE'!#REF!+#REF!</f>
        <v>#REF!</v>
      </c>
      <c r="F13" s="44" t="e">
        <f>'TANK HARDWARE'!R256+#REF!</f>
        <v>#REF!</v>
      </c>
      <c r="G13" s="44" t="e">
        <f>#REF!</f>
        <v>#REF!</v>
      </c>
      <c r="I13" s="214" t="e">
        <f>'TANK HARDWARE'!#REF!+#REF!</f>
        <v>#REF!</v>
      </c>
      <c r="J13" s="165"/>
      <c r="K13" s="165"/>
      <c r="L13" s="215"/>
      <c r="N13" s="45" t="e">
        <f t="shared" si="1"/>
        <v>#REF!</v>
      </c>
    </row>
    <row r="14" spans="2:14" s="45" customFormat="1" ht="12.95" customHeight="1" x14ac:dyDescent="0.25">
      <c r="B14" s="45" t="e">
        <f t="shared" si="0"/>
        <v>#REF!</v>
      </c>
      <c r="C14" s="43" t="e">
        <f>'TANK HARDWARE'!#REF!</f>
        <v>#REF!</v>
      </c>
      <c r="D14" s="44" t="e">
        <f>'TANK HARDWARE'!O257+#REF!</f>
        <v>#REF!</v>
      </c>
      <c r="E14" s="44" t="e">
        <f>'TANK HARDWARE'!#REF!+#REF!</f>
        <v>#REF!</v>
      </c>
      <c r="F14" s="44" t="e">
        <f>'TANK HARDWARE'!R257+#REF!</f>
        <v>#REF!</v>
      </c>
      <c r="G14" s="44" t="e">
        <f>#REF!</f>
        <v>#REF!</v>
      </c>
      <c r="I14" s="214" t="e">
        <f>'TANK HARDWARE'!#REF!+#REF!</f>
        <v>#REF!</v>
      </c>
      <c r="J14" s="165"/>
      <c r="K14" s="165"/>
      <c r="L14" s="215"/>
      <c r="N14" s="45" t="e">
        <f t="shared" si="1"/>
        <v>#REF!</v>
      </c>
    </row>
    <row r="15" spans="2:14" s="45" customFormat="1" ht="12.95" customHeight="1" x14ac:dyDescent="0.25">
      <c r="B15" s="45" t="e">
        <f t="shared" si="0"/>
        <v>#REF!</v>
      </c>
      <c r="C15" s="43" t="e">
        <f>'TANK HARDWARE'!#REF!</f>
        <v>#REF!</v>
      </c>
      <c r="D15" s="44" t="e">
        <f>'TANK HARDWARE'!O258+#REF!</f>
        <v>#REF!</v>
      </c>
      <c r="E15" s="44" t="e">
        <f>'TANK HARDWARE'!#REF!+#REF!</f>
        <v>#REF!</v>
      </c>
      <c r="F15" s="44" t="e">
        <f>'TANK HARDWARE'!R258+#REF!</f>
        <v>#REF!</v>
      </c>
      <c r="G15" s="44" t="e">
        <f>#REF!</f>
        <v>#REF!</v>
      </c>
      <c r="I15" s="214" t="e">
        <f>'TANK HARDWARE'!#REF!+#REF!</f>
        <v>#REF!</v>
      </c>
      <c r="J15" s="165"/>
      <c r="K15" s="165"/>
      <c r="L15" s="215"/>
      <c r="N15" s="45" t="e">
        <f t="shared" si="1"/>
        <v>#REF!</v>
      </c>
    </row>
    <row r="16" spans="2:14" s="45" customFormat="1" ht="12.95" customHeight="1" x14ac:dyDescent="0.25">
      <c r="B16" s="45" t="e">
        <f t="shared" si="0"/>
        <v>#REF!</v>
      </c>
      <c r="C16" s="43" t="e">
        <f>'TANK HARDWARE'!#REF!</f>
        <v>#REF!</v>
      </c>
      <c r="D16" s="44" t="e">
        <f>'TANK HARDWARE'!O259+#REF!</f>
        <v>#REF!</v>
      </c>
      <c r="E16" s="44" t="e">
        <f>'TANK HARDWARE'!#REF!+#REF!</f>
        <v>#REF!</v>
      </c>
      <c r="F16" s="44" t="e">
        <f>'TANK HARDWARE'!R259+#REF!</f>
        <v>#REF!</v>
      </c>
      <c r="G16" s="44" t="e">
        <f>#REF!</f>
        <v>#REF!</v>
      </c>
      <c r="I16" s="214" t="e">
        <f>'TANK HARDWARE'!#REF!+#REF!</f>
        <v>#REF!</v>
      </c>
      <c r="J16" s="165"/>
      <c r="K16" s="165"/>
      <c r="L16" s="215"/>
      <c r="N16" s="45" t="e">
        <f t="shared" si="1"/>
        <v>#REF!</v>
      </c>
    </row>
    <row r="17" spans="2:16" s="45" customFormat="1" ht="12.95" customHeight="1" x14ac:dyDescent="0.25">
      <c r="B17" s="45" t="e">
        <f t="shared" si="0"/>
        <v>#REF!</v>
      </c>
      <c r="C17" s="43" t="e">
        <f>'TANK HARDWARE'!#REF!</f>
        <v>#REF!</v>
      </c>
      <c r="D17" s="44" t="e">
        <f>'TANK HARDWARE'!O260+#REF!</f>
        <v>#REF!</v>
      </c>
      <c r="E17" s="44" t="e">
        <f>'TANK HARDWARE'!#REF!+#REF!</f>
        <v>#REF!</v>
      </c>
      <c r="F17" s="44" t="e">
        <f>'TANK HARDWARE'!R260+#REF!</f>
        <v>#REF!</v>
      </c>
      <c r="G17" s="44" t="e">
        <f>#REF!</f>
        <v>#REF!</v>
      </c>
      <c r="I17" s="214" t="e">
        <f>'TANK HARDWARE'!#REF!+#REF!</f>
        <v>#REF!</v>
      </c>
      <c r="J17" s="165"/>
      <c r="K17" s="165"/>
      <c r="L17" s="215"/>
      <c r="N17" s="45" t="e">
        <f t="shared" si="1"/>
        <v>#REF!</v>
      </c>
    </row>
    <row r="18" spans="2:16" s="45" customFormat="1" ht="12.95" customHeight="1" x14ac:dyDescent="0.25">
      <c r="B18" s="45" t="e">
        <f t="shared" si="0"/>
        <v>#REF!</v>
      </c>
      <c r="C18" s="43" t="e">
        <f>'TANK HARDWARE'!#REF!</f>
        <v>#REF!</v>
      </c>
      <c r="D18" s="44" t="e">
        <f>'TANK HARDWARE'!O261+#REF!</f>
        <v>#REF!</v>
      </c>
      <c r="E18" s="44" t="e">
        <f>'TANK HARDWARE'!#REF!+#REF!</f>
        <v>#REF!</v>
      </c>
      <c r="F18" s="44" t="e">
        <f>'TANK HARDWARE'!R261+#REF!</f>
        <v>#REF!</v>
      </c>
      <c r="G18" s="44" t="e">
        <f>#REF!</f>
        <v>#REF!</v>
      </c>
      <c r="I18" s="214" t="e">
        <f>'TANK HARDWARE'!#REF!+#REF!</f>
        <v>#REF!</v>
      </c>
      <c r="J18" s="165"/>
      <c r="K18" s="165"/>
      <c r="L18" s="215"/>
      <c r="N18" s="45" t="e">
        <f t="shared" si="1"/>
        <v>#REF!</v>
      </c>
    </row>
    <row r="19" spans="2:16" s="45" customFormat="1" ht="12.95" customHeight="1" x14ac:dyDescent="0.25">
      <c r="B19" s="45" t="e">
        <f t="shared" si="0"/>
        <v>#REF!</v>
      </c>
      <c r="C19" s="43" t="e">
        <f>'TANK HARDWARE'!#REF!</f>
        <v>#REF!</v>
      </c>
      <c r="D19" s="44" t="e">
        <f>'TANK HARDWARE'!O262+#REF!</f>
        <v>#REF!</v>
      </c>
      <c r="E19" s="44" t="e">
        <f>'TANK HARDWARE'!#REF!+#REF!</f>
        <v>#REF!</v>
      </c>
      <c r="F19" s="44" t="e">
        <f>'TANK HARDWARE'!R262+#REF!</f>
        <v>#REF!</v>
      </c>
      <c r="G19" s="44" t="e">
        <f>#REF!</f>
        <v>#REF!</v>
      </c>
      <c r="I19" s="214" t="e">
        <f>'TANK HARDWARE'!#REF!+#REF!</f>
        <v>#REF!</v>
      </c>
      <c r="J19" s="165"/>
      <c r="K19" s="165"/>
      <c r="L19" s="215"/>
      <c r="N19" s="45" t="e">
        <f t="shared" si="1"/>
        <v>#REF!</v>
      </c>
    </row>
    <row r="20" spans="2:16" s="45" customFormat="1" ht="12.95" customHeight="1" x14ac:dyDescent="0.25">
      <c r="B20" s="45" t="e">
        <f t="shared" si="0"/>
        <v>#REF!</v>
      </c>
      <c r="C20" s="43" t="e">
        <f>'TANK HARDWARE'!#REF!</f>
        <v>#REF!</v>
      </c>
      <c r="D20" s="44" t="e">
        <f>'TANK HARDWARE'!O263+#REF!</f>
        <v>#REF!</v>
      </c>
      <c r="E20" s="44" t="e">
        <f>'TANK HARDWARE'!#REF!+#REF!</f>
        <v>#REF!</v>
      </c>
      <c r="F20" s="44" t="e">
        <f>'TANK HARDWARE'!R263+#REF!</f>
        <v>#REF!</v>
      </c>
      <c r="G20" s="44" t="e">
        <f>#REF!</f>
        <v>#REF!</v>
      </c>
      <c r="I20" s="214" t="e">
        <f>'TANK HARDWARE'!#REF!+#REF!</f>
        <v>#REF!</v>
      </c>
      <c r="J20" s="165"/>
      <c r="K20" s="165"/>
      <c r="L20" s="215"/>
      <c r="N20" s="45" t="e">
        <f t="shared" si="1"/>
        <v>#REF!</v>
      </c>
    </row>
    <row r="21" spans="2:16" s="45" customFormat="1" ht="12.75" hidden="1" customHeight="1" x14ac:dyDescent="0.25">
      <c r="B21" s="45" t="e">
        <f t="shared" si="0"/>
        <v>#REF!</v>
      </c>
      <c r="C21" s="43" t="e">
        <f>'TANK HARDWARE'!#REF!</f>
        <v>#REF!</v>
      </c>
      <c r="D21" s="44" t="e">
        <f>'TANK HARDWARE'!O264+#REF!</f>
        <v>#REF!</v>
      </c>
      <c r="E21" s="44" t="e">
        <f>'TANK HARDWARE'!#REF!+#REF!</f>
        <v>#REF!</v>
      </c>
      <c r="F21" s="44" t="e">
        <f>'TANK HARDWARE'!R264+#REF!</f>
        <v>#REF!</v>
      </c>
      <c r="G21" s="44" t="e">
        <f>#REF!</f>
        <v>#REF!</v>
      </c>
      <c r="I21" s="214" t="e">
        <f>'TANK HARDWARE'!#REF!+#REF!</f>
        <v>#REF!</v>
      </c>
      <c r="J21" s="165"/>
      <c r="K21" s="165"/>
      <c r="L21" s="215"/>
      <c r="N21" s="45" t="e">
        <f t="shared" si="1"/>
        <v>#REF!</v>
      </c>
    </row>
    <row r="22" spans="2:16" s="45" customFormat="1" ht="13.5" hidden="1" customHeight="1" thickBot="1" x14ac:dyDescent="0.3">
      <c r="B22" s="45" t="e">
        <f t="shared" si="0"/>
        <v>#REF!</v>
      </c>
      <c r="C22" s="46" t="e">
        <f>'TANK HARDWARE'!#REF!</f>
        <v>#REF!</v>
      </c>
      <c r="D22" s="47" t="e">
        <f>'TANK HARDWARE'!O265+#REF!</f>
        <v>#REF!</v>
      </c>
      <c r="E22" s="47" t="e">
        <f>'TANK HARDWARE'!#REF!+#REF!</f>
        <v>#REF!</v>
      </c>
      <c r="F22" s="47" t="e">
        <f>'TANK HARDWARE'!R265+#REF!</f>
        <v>#REF!</v>
      </c>
      <c r="G22" s="47" t="e">
        <f>#REF!</f>
        <v>#REF!</v>
      </c>
      <c r="I22" s="235" t="e">
        <f>'TANK HARDWARE'!#REF!+#REF!</f>
        <v>#REF!</v>
      </c>
      <c r="J22" s="236"/>
      <c r="K22" s="236"/>
      <c r="L22" s="237"/>
      <c r="N22" s="45" t="e">
        <f t="shared" si="1"/>
        <v>#REF!</v>
      </c>
    </row>
    <row r="23" spans="2:16" s="45" customFormat="1" ht="12.95" customHeight="1" thickBot="1" x14ac:dyDescent="0.25">
      <c r="B23" s="45">
        <f t="shared" si="0"/>
        <v>1</v>
      </c>
      <c r="N23" s="45">
        <v>1</v>
      </c>
    </row>
    <row r="24" spans="2:16" s="45" customFormat="1" ht="12.95" customHeight="1" thickBot="1" x14ac:dyDescent="0.3">
      <c r="B24" s="45">
        <f t="shared" si="0"/>
        <v>1</v>
      </c>
      <c r="C24" s="211" t="s">
        <v>749</v>
      </c>
      <c r="D24" s="212"/>
      <c r="E24" s="213"/>
      <c r="F24" s="211" t="s">
        <v>26</v>
      </c>
      <c r="G24" s="212"/>
      <c r="H24" s="212"/>
      <c r="I24" s="212"/>
      <c r="J24" s="212"/>
      <c r="K24" s="212"/>
      <c r="L24" s="213"/>
      <c r="N24" s="45">
        <v>1</v>
      </c>
    </row>
    <row r="25" spans="2:16" s="45" customFormat="1" ht="12.75" hidden="1" customHeight="1" x14ac:dyDescent="0.25">
      <c r="B25" s="45" t="e">
        <f t="shared" si="0"/>
        <v>#REF!</v>
      </c>
      <c r="C25" s="210" t="e">
        <f>'TANK HARDWARE'!M256</f>
        <v>#REF!</v>
      </c>
      <c r="D25" s="167"/>
      <c r="E25" s="168"/>
      <c r="F25" s="209" t="e">
        <f>'TANK HARDWARE'!#REF!+P25</f>
        <v>#REF!</v>
      </c>
      <c r="G25" s="167"/>
      <c r="H25" s="167"/>
      <c r="I25" s="167"/>
      <c r="J25" s="167"/>
      <c r="K25" s="167"/>
      <c r="L25" s="168"/>
      <c r="N25" s="45" t="e">
        <f t="shared" ref="N25:N56" si="2">F25</f>
        <v>#REF!</v>
      </c>
      <c r="O25" s="45">
        <f>IFERROR(VLOOKUP(C25,#REF!,4,FALSE),0)</f>
        <v>0</v>
      </c>
      <c r="P25" s="45">
        <f t="shared" ref="P25:P56" si="3">IFERROR(O25,0)</f>
        <v>0</v>
      </c>
    </row>
    <row r="26" spans="2:16" s="45" customFormat="1" ht="12.75" hidden="1" customHeight="1" x14ac:dyDescent="0.25">
      <c r="B26" s="45" t="e">
        <f t="shared" si="0"/>
        <v>#REF!</v>
      </c>
      <c r="C26" s="208" t="e">
        <f>'TANK HARDWARE'!M257</f>
        <v>#REF!</v>
      </c>
      <c r="D26" s="165"/>
      <c r="E26" s="164"/>
      <c r="F26" s="209" t="e">
        <f>'TANK HARDWARE'!#REF!+P26</f>
        <v>#REF!</v>
      </c>
      <c r="G26" s="167"/>
      <c r="H26" s="167"/>
      <c r="I26" s="167"/>
      <c r="J26" s="167"/>
      <c r="K26" s="167"/>
      <c r="L26" s="168"/>
      <c r="N26" s="45" t="e">
        <f t="shared" si="2"/>
        <v>#REF!</v>
      </c>
      <c r="O26" s="45" t="e">
        <f>VLOOKUP(C26,#REF!,4,FALSE)</f>
        <v>#REF!</v>
      </c>
      <c r="P26" s="45">
        <f t="shared" si="3"/>
        <v>0</v>
      </c>
    </row>
    <row r="27" spans="2:16" s="45" customFormat="1" ht="12.75" hidden="1" customHeight="1" x14ac:dyDescent="0.25">
      <c r="B27" s="45" t="e">
        <f t="shared" si="0"/>
        <v>#REF!</v>
      </c>
      <c r="C27" s="208" t="e">
        <f>'TANK HARDWARE'!M258</f>
        <v>#REF!</v>
      </c>
      <c r="D27" s="165"/>
      <c r="E27" s="164"/>
      <c r="F27" s="209" t="e">
        <f>'TANK HARDWARE'!#REF!+P27</f>
        <v>#REF!</v>
      </c>
      <c r="G27" s="167"/>
      <c r="H27" s="167"/>
      <c r="I27" s="167"/>
      <c r="J27" s="167"/>
      <c r="K27" s="167"/>
      <c r="L27" s="168"/>
      <c r="N27" s="45" t="e">
        <f t="shared" si="2"/>
        <v>#REF!</v>
      </c>
      <c r="O27" s="45" t="e">
        <f>VLOOKUP(C27,#REF!,4,FALSE)</f>
        <v>#REF!</v>
      </c>
      <c r="P27" s="45">
        <f t="shared" si="3"/>
        <v>0</v>
      </c>
    </row>
    <row r="28" spans="2:16" s="45" customFormat="1" ht="12.75" hidden="1" customHeight="1" x14ac:dyDescent="0.25">
      <c r="B28" s="45" t="e">
        <f t="shared" si="0"/>
        <v>#REF!</v>
      </c>
      <c r="C28" s="208" t="e">
        <f>'TANK HARDWARE'!M259</f>
        <v>#REF!</v>
      </c>
      <c r="D28" s="165"/>
      <c r="E28" s="164"/>
      <c r="F28" s="209" t="e">
        <f>'TANK HARDWARE'!#REF!+P28</f>
        <v>#REF!</v>
      </c>
      <c r="G28" s="167"/>
      <c r="H28" s="167"/>
      <c r="I28" s="167"/>
      <c r="J28" s="167"/>
      <c r="K28" s="167"/>
      <c r="L28" s="168"/>
      <c r="N28" s="45" t="e">
        <f t="shared" si="2"/>
        <v>#REF!</v>
      </c>
      <c r="O28" s="45" t="e">
        <f>VLOOKUP(C28,#REF!,4,FALSE)</f>
        <v>#REF!</v>
      </c>
      <c r="P28" s="45">
        <f t="shared" si="3"/>
        <v>0</v>
      </c>
    </row>
    <row r="29" spans="2:16" s="45" customFormat="1" ht="12.75" hidden="1" customHeight="1" x14ac:dyDescent="0.25">
      <c r="B29" s="45" t="e">
        <f t="shared" si="0"/>
        <v>#REF!</v>
      </c>
      <c r="C29" s="208" t="e">
        <f>'TANK HARDWARE'!M260</f>
        <v>#REF!</v>
      </c>
      <c r="D29" s="165"/>
      <c r="E29" s="164"/>
      <c r="F29" s="209" t="e">
        <f>'TANK HARDWARE'!#REF!+P29</f>
        <v>#REF!</v>
      </c>
      <c r="G29" s="167"/>
      <c r="H29" s="167"/>
      <c r="I29" s="167"/>
      <c r="J29" s="167"/>
      <c r="K29" s="167"/>
      <c r="L29" s="168"/>
      <c r="N29" s="45" t="e">
        <f t="shared" si="2"/>
        <v>#REF!</v>
      </c>
      <c r="O29" s="45" t="e">
        <f>VLOOKUP(C29,#REF!,4,FALSE)</f>
        <v>#REF!</v>
      </c>
      <c r="P29" s="45">
        <f t="shared" si="3"/>
        <v>0</v>
      </c>
    </row>
    <row r="30" spans="2:16" s="45" customFormat="1" ht="12.75" hidden="1" customHeight="1" x14ac:dyDescent="0.25">
      <c r="B30" s="45" t="e">
        <f t="shared" si="0"/>
        <v>#REF!</v>
      </c>
      <c r="C30" s="208" t="e">
        <f>'TANK HARDWARE'!M261</f>
        <v>#REF!</v>
      </c>
      <c r="D30" s="165"/>
      <c r="E30" s="164"/>
      <c r="F30" s="209" t="e">
        <f>'TANK HARDWARE'!#REF!+P30</f>
        <v>#REF!</v>
      </c>
      <c r="G30" s="167"/>
      <c r="H30" s="167"/>
      <c r="I30" s="167"/>
      <c r="J30" s="167"/>
      <c r="K30" s="167"/>
      <c r="L30" s="168"/>
      <c r="N30" s="45" t="e">
        <f t="shared" si="2"/>
        <v>#REF!</v>
      </c>
      <c r="O30" s="45" t="e">
        <f>VLOOKUP(C30,#REF!,4,FALSE)</f>
        <v>#REF!</v>
      </c>
      <c r="P30" s="45">
        <f t="shared" si="3"/>
        <v>0</v>
      </c>
    </row>
    <row r="31" spans="2:16" s="45" customFormat="1" ht="12.75" hidden="1" customHeight="1" x14ac:dyDescent="0.25">
      <c r="B31" s="45" t="e">
        <f t="shared" si="0"/>
        <v>#REF!</v>
      </c>
      <c r="C31" s="208" t="e">
        <f>'TANK HARDWARE'!M262</f>
        <v>#REF!</v>
      </c>
      <c r="D31" s="165"/>
      <c r="E31" s="164"/>
      <c r="F31" s="209" t="e">
        <f>'TANK HARDWARE'!#REF!+P31</f>
        <v>#REF!</v>
      </c>
      <c r="G31" s="167"/>
      <c r="H31" s="167"/>
      <c r="I31" s="167"/>
      <c r="J31" s="167"/>
      <c r="K31" s="167"/>
      <c r="L31" s="168"/>
      <c r="N31" s="45" t="e">
        <f t="shared" si="2"/>
        <v>#REF!</v>
      </c>
      <c r="O31" s="45" t="e">
        <f>VLOOKUP(C31,#REF!,4,FALSE)</f>
        <v>#REF!</v>
      </c>
      <c r="P31" s="45">
        <f t="shared" si="3"/>
        <v>0</v>
      </c>
    </row>
    <row r="32" spans="2:16" s="45" customFormat="1" ht="12.75" customHeight="1" x14ac:dyDescent="0.25">
      <c r="B32" s="45" t="e">
        <f t="shared" si="0"/>
        <v>#REF!</v>
      </c>
      <c r="C32" s="208" t="e">
        <f>'TANK HARDWARE'!M263</f>
        <v>#REF!</v>
      </c>
      <c r="D32" s="165"/>
      <c r="E32" s="164"/>
      <c r="F32" s="209" t="e">
        <f>'TANK HARDWARE'!#REF!+P32</f>
        <v>#REF!</v>
      </c>
      <c r="G32" s="167"/>
      <c r="H32" s="167"/>
      <c r="I32" s="167"/>
      <c r="J32" s="167"/>
      <c r="K32" s="167"/>
      <c r="L32" s="168"/>
      <c r="N32" s="45" t="e">
        <f t="shared" si="2"/>
        <v>#REF!</v>
      </c>
      <c r="O32" s="45" t="e">
        <f>VLOOKUP(C32,#REF!,4,FALSE)</f>
        <v>#REF!</v>
      </c>
      <c r="P32" s="45">
        <f t="shared" si="3"/>
        <v>0</v>
      </c>
    </row>
    <row r="33" spans="2:16" s="45" customFormat="1" ht="12.75" hidden="1" customHeight="1" x14ac:dyDescent="0.25">
      <c r="B33" s="45" t="e">
        <f t="shared" si="0"/>
        <v>#REF!</v>
      </c>
      <c r="C33" s="208" t="e">
        <f>'TANK HARDWARE'!M264</f>
        <v>#REF!</v>
      </c>
      <c r="D33" s="165"/>
      <c r="E33" s="164"/>
      <c r="F33" s="209" t="e">
        <f>'TANK HARDWARE'!#REF!+P33</f>
        <v>#REF!</v>
      </c>
      <c r="G33" s="167"/>
      <c r="H33" s="167"/>
      <c r="I33" s="167"/>
      <c r="J33" s="167"/>
      <c r="K33" s="167"/>
      <c r="L33" s="168"/>
      <c r="N33" s="45" t="e">
        <f t="shared" si="2"/>
        <v>#REF!</v>
      </c>
      <c r="O33" s="45" t="e">
        <f>VLOOKUP(C33,#REF!,4,FALSE)</f>
        <v>#REF!</v>
      </c>
      <c r="P33" s="45">
        <f t="shared" si="3"/>
        <v>0</v>
      </c>
    </row>
    <row r="34" spans="2:16" s="45" customFormat="1" ht="12.75" hidden="1" customHeight="1" x14ac:dyDescent="0.25">
      <c r="B34" s="45" t="e">
        <f t="shared" si="0"/>
        <v>#REF!</v>
      </c>
      <c r="C34" s="208" t="e">
        <f>'TANK HARDWARE'!M265</f>
        <v>#REF!</v>
      </c>
      <c r="D34" s="165"/>
      <c r="E34" s="164"/>
      <c r="F34" s="209" t="e">
        <f>'TANK HARDWARE'!#REF!+P34</f>
        <v>#REF!</v>
      </c>
      <c r="G34" s="167"/>
      <c r="H34" s="167"/>
      <c r="I34" s="167"/>
      <c r="J34" s="167"/>
      <c r="K34" s="167"/>
      <c r="L34" s="168"/>
      <c r="N34" s="45" t="e">
        <f t="shared" si="2"/>
        <v>#REF!</v>
      </c>
      <c r="O34" s="45" t="e">
        <f>VLOOKUP(C34,#REF!,4,FALSE)</f>
        <v>#REF!</v>
      </c>
      <c r="P34" s="45">
        <f t="shared" si="3"/>
        <v>0</v>
      </c>
    </row>
    <row r="35" spans="2:16" s="45" customFormat="1" ht="12.75" hidden="1" customHeight="1" x14ac:dyDescent="0.25">
      <c r="B35" s="45" t="e">
        <f t="shared" si="0"/>
        <v>#REF!</v>
      </c>
      <c r="C35" s="208" t="e">
        <f>'TANK HARDWARE'!M266</f>
        <v>#REF!</v>
      </c>
      <c r="D35" s="165"/>
      <c r="E35" s="164"/>
      <c r="F35" s="209" t="e">
        <f>'TANK HARDWARE'!#REF!+P35</f>
        <v>#REF!</v>
      </c>
      <c r="G35" s="167"/>
      <c r="H35" s="167"/>
      <c r="I35" s="167"/>
      <c r="J35" s="167"/>
      <c r="K35" s="167"/>
      <c r="L35" s="168"/>
      <c r="N35" s="45" t="e">
        <f t="shared" si="2"/>
        <v>#REF!</v>
      </c>
      <c r="O35" s="45" t="e">
        <f>VLOOKUP(C35,#REF!,4,FALSE)</f>
        <v>#REF!</v>
      </c>
      <c r="P35" s="45">
        <f t="shared" si="3"/>
        <v>0</v>
      </c>
    </row>
    <row r="36" spans="2:16" s="45" customFormat="1" ht="12.75" hidden="1" customHeight="1" x14ac:dyDescent="0.25">
      <c r="B36" s="45" t="e">
        <f t="shared" si="0"/>
        <v>#REF!</v>
      </c>
      <c r="C36" s="208" t="e">
        <f>'TANK HARDWARE'!M267</f>
        <v>#REF!</v>
      </c>
      <c r="D36" s="165"/>
      <c r="E36" s="164"/>
      <c r="F36" s="209" t="e">
        <f>'TANK HARDWARE'!#REF!+P36</f>
        <v>#REF!</v>
      </c>
      <c r="G36" s="167"/>
      <c r="H36" s="167"/>
      <c r="I36" s="167"/>
      <c r="J36" s="167"/>
      <c r="K36" s="167"/>
      <c r="L36" s="168"/>
      <c r="N36" s="45" t="e">
        <f t="shared" si="2"/>
        <v>#REF!</v>
      </c>
      <c r="O36" s="45" t="e">
        <f>VLOOKUP(C36,#REF!,4,FALSE)</f>
        <v>#REF!</v>
      </c>
      <c r="P36" s="45">
        <f t="shared" si="3"/>
        <v>0</v>
      </c>
    </row>
    <row r="37" spans="2:16" s="45" customFormat="1" ht="12.95" customHeight="1" x14ac:dyDescent="0.25">
      <c r="B37" s="45" t="e">
        <f t="shared" si="0"/>
        <v>#REF!</v>
      </c>
      <c r="C37" s="208" t="e">
        <f>'TANK HARDWARE'!M268</f>
        <v>#REF!</v>
      </c>
      <c r="D37" s="165"/>
      <c r="E37" s="164"/>
      <c r="F37" s="209" t="e">
        <f>'TANK HARDWARE'!#REF!+P37</f>
        <v>#REF!</v>
      </c>
      <c r="G37" s="167"/>
      <c r="H37" s="167"/>
      <c r="I37" s="167"/>
      <c r="J37" s="167"/>
      <c r="K37" s="167"/>
      <c r="L37" s="168"/>
      <c r="N37" s="45" t="e">
        <f t="shared" si="2"/>
        <v>#REF!</v>
      </c>
      <c r="O37" s="45" t="e">
        <f>VLOOKUP(C37,#REF!,4,FALSE)</f>
        <v>#REF!</v>
      </c>
      <c r="P37" s="45">
        <f t="shared" si="3"/>
        <v>0</v>
      </c>
    </row>
    <row r="38" spans="2:16" s="45" customFormat="1" ht="12.75" hidden="1" customHeight="1" x14ac:dyDescent="0.25">
      <c r="B38" s="45" t="e">
        <f t="shared" si="0"/>
        <v>#REF!</v>
      </c>
      <c r="C38" s="208" t="e">
        <f>'TANK HARDWARE'!M269</f>
        <v>#REF!</v>
      </c>
      <c r="D38" s="165"/>
      <c r="E38" s="164"/>
      <c r="F38" s="209" t="e">
        <f>'TANK HARDWARE'!#REF!+P38</f>
        <v>#REF!</v>
      </c>
      <c r="G38" s="167"/>
      <c r="H38" s="167"/>
      <c r="I38" s="167"/>
      <c r="J38" s="167"/>
      <c r="K38" s="167"/>
      <c r="L38" s="168"/>
      <c r="N38" s="45" t="e">
        <f t="shared" si="2"/>
        <v>#REF!</v>
      </c>
      <c r="O38" s="45" t="e">
        <f>VLOOKUP(C38,#REF!,4,FALSE)</f>
        <v>#REF!</v>
      </c>
      <c r="P38" s="45">
        <f t="shared" si="3"/>
        <v>0</v>
      </c>
    </row>
    <row r="39" spans="2:16" s="45" customFormat="1" ht="12.75" hidden="1" customHeight="1" x14ac:dyDescent="0.25">
      <c r="B39" s="45" t="e">
        <f t="shared" si="0"/>
        <v>#REF!</v>
      </c>
      <c r="C39" s="208" t="e">
        <f>'TANK HARDWARE'!M270</f>
        <v>#REF!</v>
      </c>
      <c r="D39" s="165"/>
      <c r="E39" s="164"/>
      <c r="F39" s="209" t="e">
        <f>'TANK HARDWARE'!#REF!+P39</f>
        <v>#REF!</v>
      </c>
      <c r="G39" s="167"/>
      <c r="H39" s="167"/>
      <c r="I39" s="167"/>
      <c r="J39" s="167"/>
      <c r="K39" s="167"/>
      <c r="L39" s="168"/>
      <c r="N39" s="45" t="e">
        <f t="shared" si="2"/>
        <v>#REF!</v>
      </c>
      <c r="O39" s="45" t="e">
        <f>VLOOKUP(C39,#REF!,4,FALSE)</f>
        <v>#REF!</v>
      </c>
      <c r="P39" s="45">
        <f t="shared" si="3"/>
        <v>0</v>
      </c>
    </row>
    <row r="40" spans="2:16" s="45" customFormat="1" ht="12.75" hidden="1" customHeight="1" x14ac:dyDescent="0.25">
      <c r="B40" s="45" t="e">
        <f t="shared" si="0"/>
        <v>#REF!</v>
      </c>
      <c r="C40" s="208" t="e">
        <f>'TANK HARDWARE'!M271</f>
        <v>#REF!</v>
      </c>
      <c r="D40" s="165"/>
      <c r="E40" s="164"/>
      <c r="F40" s="209" t="e">
        <f>'TANK HARDWARE'!#REF!+P40</f>
        <v>#REF!</v>
      </c>
      <c r="G40" s="167"/>
      <c r="H40" s="167"/>
      <c r="I40" s="167"/>
      <c r="J40" s="167"/>
      <c r="K40" s="167"/>
      <c r="L40" s="168"/>
      <c r="N40" s="45" t="e">
        <f t="shared" si="2"/>
        <v>#REF!</v>
      </c>
      <c r="O40" s="45" t="e">
        <f>VLOOKUP(C40,#REF!,4,FALSE)</f>
        <v>#REF!</v>
      </c>
      <c r="P40" s="45">
        <f t="shared" si="3"/>
        <v>0</v>
      </c>
    </row>
    <row r="41" spans="2:16" s="45" customFormat="1" ht="12.75" customHeight="1" x14ac:dyDescent="0.25">
      <c r="B41" s="45" t="e">
        <f t="shared" si="0"/>
        <v>#REF!</v>
      </c>
      <c r="C41" s="208" t="e">
        <f>'TANK HARDWARE'!M272</f>
        <v>#REF!</v>
      </c>
      <c r="D41" s="165"/>
      <c r="E41" s="164"/>
      <c r="F41" s="209" t="e">
        <f>'TANK HARDWARE'!#REF!+P41</f>
        <v>#REF!</v>
      </c>
      <c r="G41" s="167"/>
      <c r="H41" s="167"/>
      <c r="I41" s="167"/>
      <c r="J41" s="167"/>
      <c r="K41" s="167"/>
      <c r="L41" s="168"/>
      <c r="N41" s="45" t="e">
        <f t="shared" si="2"/>
        <v>#REF!</v>
      </c>
      <c r="O41" s="45" t="e">
        <f>VLOOKUP(C41,#REF!,4,FALSE)</f>
        <v>#REF!</v>
      </c>
      <c r="P41" s="45">
        <f t="shared" si="3"/>
        <v>0</v>
      </c>
    </row>
    <row r="42" spans="2:16" s="45" customFormat="1" ht="12.95" customHeight="1" x14ac:dyDescent="0.25">
      <c r="B42" s="45" t="e">
        <f t="shared" si="0"/>
        <v>#REF!</v>
      </c>
      <c r="C42" s="208" t="e">
        <f>'TANK HARDWARE'!M273</f>
        <v>#REF!</v>
      </c>
      <c r="D42" s="165"/>
      <c r="E42" s="164"/>
      <c r="F42" s="209" t="e">
        <f>'TANK HARDWARE'!#REF!+P42</f>
        <v>#REF!</v>
      </c>
      <c r="G42" s="167"/>
      <c r="H42" s="167"/>
      <c r="I42" s="167"/>
      <c r="J42" s="167"/>
      <c r="K42" s="167"/>
      <c r="L42" s="168"/>
      <c r="N42" s="45" t="e">
        <f t="shared" si="2"/>
        <v>#REF!</v>
      </c>
      <c r="O42" s="45" t="e">
        <f>VLOOKUP(C42,#REF!,4,FALSE)</f>
        <v>#REF!</v>
      </c>
      <c r="P42" s="45">
        <f t="shared" si="3"/>
        <v>0</v>
      </c>
    </row>
    <row r="43" spans="2:16" s="45" customFormat="1" ht="12.95" customHeight="1" x14ac:dyDescent="0.25">
      <c r="B43" s="45" t="e">
        <f t="shared" si="0"/>
        <v>#REF!</v>
      </c>
      <c r="C43" s="208" t="e">
        <f>'TANK HARDWARE'!M274</f>
        <v>#REF!</v>
      </c>
      <c r="D43" s="165"/>
      <c r="E43" s="164"/>
      <c r="F43" s="209" t="e">
        <f>'TANK HARDWARE'!#REF!+P43</f>
        <v>#REF!</v>
      </c>
      <c r="G43" s="167"/>
      <c r="H43" s="167"/>
      <c r="I43" s="167"/>
      <c r="J43" s="167"/>
      <c r="K43" s="167"/>
      <c r="L43" s="168"/>
      <c r="N43" s="45" t="e">
        <f t="shared" si="2"/>
        <v>#REF!</v>
      </c>
      <c r="O43" s="45" t="e">
        <f>VLOOKUP(C43,#REF!,4,FALSE)</f>
        <v>#REF!</v>
      </c>
      <c r="P43" s="45">
        <f t="shared" si="3"/>
        <v>0</v>
      </c>
    </row>
    <row r="44" spans="2:16" s="45" customFormat="1" ht="12.95" hidden="1" customHeight="1" x14ac:dyDescent="0.25">
      <c r="B44" s="45" t="e">
        <f t="shared" si="0"/>
        <v>#REF!</v>
      </c>
      <c r="C44" s="208" t="e">
        <f>'TANK HARDWARE'!M275</f>
        <v>#REF!</v>
      </c>
      <c r="D44" s="165"/>
      <c r="E44" s="164"/>
      <c r="F44" s="209" t="e">
        <f>'TANK HARDWARE'!#REF!+P44</f>
        <v>#REF!</v>
      </c>
      <c r="G44" s="167"/>
      <c r="H44" s="167"/>
      <c r="I44" s="167"/>
      <c r="J44" s="167"/>
      <c r="K44" s="167"/>
      <c r="L44" s="168"/>
      <c r="N44" s="45" t="e">
        <f t="shared" si="2"/>
        <v>#REF!</v>
      </c>
      <c r="O44" s="45" t="e">
        <f>VLOOKUP(C44,#REF!,4,FALSE)</f>
        <v>#REF!</v>
      </c>
      <c r="P44" s="45">
        <f t="shared" si="3"/>
        <v>0</v>
      </c>
    </row>
    <row r="45" spans="2:16" s="45" customFormat="1" ht="12.95" customHeight="1" x14ac:dyDescent="0.25">
      <c r="B45" s="45" t="e">
        <f t="shared" si="0"/>
        <v>#REF!</v>
      </c>
      <c r="C45" s="208" t="e">
        <f>'TANK HARDWARE'!M276</f>
        <v>#REF!</v>
      </c>
      <c r="D45" s="165"/>
      <c r="E45" s="164"/>
      <c r="F45" s="209" t="e">
        <f>'TANK HARDWARE'!#REF!+P45</f>
        <v>#REF!</v>
      </c>
      <c r="G45" s="167"/>
      <c r="H45" s="167"/>
      <c r="I45" s="167"/>
      <c r="J45" s="167"/>
      <c r="K45" s="167"/>
      <c r="L45" s="168"/>
      <c r="N45" s="45" t="e">
        <f t="shared" si="2"/>
        <v>#REF!</v>
      </c>
      <c r="O45" s="45" t="e">
        <f>VLOOKUP(C45,#REF!,4,FALSE)</f>
        <v>#REF!</v>
      </c>
      <c r="P45" s="45">
        <f t="shared" si="3"/>
        <v>0</v>
      </c>
    </row>
    <row r="46" spans="2:16" s="45" customFormat="1" ht="12.75" hidden="1" customHeight="1" x14ac:dyDescent="0.25">
      <c r="B46" s="45" t="e">
        <f t="shared" si="0"/>
        <v>#REF!</v>
      </c>
      <c r="C46" s="208" t="e">
        <f>'TANK HARDWARE'!M277</f>
        <v>#REF!</v>
      </c>
      <c r="D46" s="165"/>
      <c r="E46" s="164"/>
      <c r="F46" s="209" t="e">
        <f>'TANK HARDWARE'!#REF!+P46</f>
        <v>#REF!</v>
      </c>
      <c r="G46" s="167"/>
      <c r="H46" s="167"/>
      <c r="I46" s="167"/>
      <c r="J46" s="167"/>
      <c r="K46" s="167"/>
      <c r="L46" s="168"/>
      <c r="N46" s="45" t="e">
        <f t="shared" si="2"/>
        <v>#REF!</v>
      </c>
      <c r="O46" s="45" t="e">
        <f>VLOOKUP(C46,#REF!,4,FALSE)</f>
        <v>#REF!</v>
      </c>
      <c r="P46" s="45">
        <f t="shared" si="3"/>
        <v>0</v>
      </c>
    </row>
    <row r="47" spans="2:16" s="45" customFormat="1" ht="12.75" hidden="1" customHeight="1" x14ac:dyDescent="0.25">
      <c r="B47" s="45" t="e">
        <f t="shared" si="0"/>
        <v>#REF!</v>
      </c>
      <c r="C47" s="208" t="e">
        <f>'TANK HARDWARE'!M278</f>
        <v>#REF!</v>
      </c>
      <c r="D47" s="165"/>
      <c r="E47" s="164"/>
      <c r="F47" s="209" t="e">
        <f>'TANK HARDWARE'!#REF!+P47</f>
        <v>#REF!</v>
      </c>
      <c r="G47" s="167"/>
      <c r="H47" s="167"/>
      <c r="I47" s="167"/>
      <c r="J47" s="167"/>
      <c r="K47" s="167"/>
      <c r="L47" s="168"/>
      <c r="N47" s="45" t="e">
        <f t="shared" si="2"/>
        <v>#REF!</v>
      </c>
      <c r="O47" s="45" t="e">
        <f>VLOOKUP(C47,#REF!,4,FALSE)</f>
        <v>#REF!</v>
      </c>
      <c r="P47" s="45">
        <f t="shared" si="3"/>
        <v>0</v>
      </c>
    </row>
    <row r="48" spans="2:16" s="45" customFormat="1" ht="12.75" hidden="1" customHeight="1" x14ac:dyDescent="0.25">
      <c r="B48" s="45" t="e">
        <f t="shared" si="0"/>
        <v>#REF!</v>
      </c>
      <c r="C48" s="208" t="e">
        <f>'TANK HARDWARE'!M283</f>
        <v>#REF!</v>
      </c>
      <c r="D48" s="165"/>
      <c r="E48" s="164"/>
      <c r="F48" s="209" t="e">
        <f>'TANK HARDWARE'!#REF!+P48</f>
        <v>#REF!</v>
      </c>
      <c r="G48" s="167"/>
      <c r="H48" s="167"/>
      <c r="I48" s="167"/>
      <c r="J48" s="167"/>
      <c r="K48" s="167"/>
      <c r="L48" s="168"/>
      <c r="N48" s="45" t="e">
        <f t="shared" si="2"/>
        <v>#REF!</v>
      </c>
      <c r="O48" s="45" t="e">
        <f>VLOOKUP(C48,#REF!,4,FALSE)</f>
        <v>#REF!</v>
      </c>
      <c r="P48" s="45">
        <f t="shared" si="3"/>
        <v>0</v>
      </c>
    </row>
    <row r="49" spans="2:18" s="45" customFormat="1" ht="12.75" hidden="1" customHeight="1" x14ac:dyDescent="0.25">
      <c r="B49" s="45" t="e">
        <f t="shared" si="0"/>
        <v>#REF!</v>
      </c>
      <c r="C49" s="208" t="e">
        <f>'TANK HARDWARE'!M284</f>
        <v>#REF!</v>
      </c>
      <c r="D49" s="165"/>
      <c r="E49" s="164"/>
      <c r="F49" s="209" t="e">
        <f>'TANK HARDWARE'!#REF!+P49</f>
        <v>#REF!</v>
      </c>
      <c r="G49" s="167"/>
      <c r="H49" s="167"/>
      <c r="I49" s="167"/>
      <c r="J49" s="167"/>
      <c r="K49" s="167"/>
      <c r="L49" s="168"/>
      <c r="N49" s="45" t="e">
        <f t="shared" si="2"/>
        <v>#REF!</v>
      </c>
      <c r="O49" s="45" t="e">
        <f>VLOOKUP(C49,#REF!,4,FALSE)</f>
        <v>#REF!</v>
      </c>
      <c r="P49" s="45">
        <f t="shared" si="3"/>
        <v>0</v>
      </c>
    </row>
    <row r="50" spans="2:18" s="45" customFormat="1" ht="12.75" customHeight="1" x14ac:dyDescent="0.25">
      <c r="B50" s="45" t="e">
        <f t="shared" si="0"/>
        <v>#REF!</v>
      </c>
      <c r="C50" s="208" t="e">
        <f>'TANK HARDWARE'!M285</f>
        <v>#REF!</v>
      </c>
      <c r="D50" s="165"/>
      <c r="E50" s="164"/>
      <c r="F50" s="209" t="e">
        <f>'TANK HARDWARE'!#REF!+P50</f>
        <v>#REF!</v>
      </c>
      <c r="G50" s="167"/>
      <c r="H50" s="167"/>
      <c r="I50" s="167"/>
      <c r="J50" s="167"/>
      <c r="K50" s="167"/>
      <c r="L50" s="168"/>
      <c r="N50" s="45" t="e">
        <f t="shared" si="2"/>
        <v>#REF!</v>
      </c>
      <c r="O50" s="45" t="e">
        <f>VLOOKUP(C50,#REF!,4,FALSE)</f>
        <v>#REF!</v>
      </c>
      <c r="P50" s="45">
        <f t="shared" si="3"/>
        <v>0</v>
      </c>
    </row>
    <row r="51" spans="2:18" s="45" customFormat="1" ht="12.95" customHeight="1" x14ac:dyDescent="0.25">
      <c r="B51" s="45" t="e">
        <f t="shared" si="0"/>
        <v>#REF!</v>
      </c>
      <c r="C51" s="208" t="e">
        <f>'TANK HARDWARE'!M286</f>
        <v>#REF!</v>
      </c>
      <c r="D51" s="165"/>
      <c r="E51" s="164"/>
      <c r="F51" s="209" t="e">
        <f>'TANK HARDWARE'!#REF!+P51</f>
        <v>#REF!</v>
      </c>
      <c r="G51" s="167"/>
      <c r="H51" s="167"/>
      <c r="I51" s="167"/>
      <c r="J51" s="167"/>
      <c r="K51" s="167"/>
      <c r="L51" s="168"/>
      <c r="N51" s="45" t="e">
        <f t="shared" si="2"/>
        <v>#REF!</v>
      </c>
      <c r="O51" s="45" t="e">
        <f>VLOOKUP(C51,#REF!,4,FALSE)</f>
        <v>#REF!</v>
      </c>
      <c r="P51" s="45">
        <f t="shared" si="3"/>
        <v>0</v>
      </c>
      <c r="R51" s="45" t="s">
        <v>750</v>
      </c>
    </row>
    <row r="52" spans="2:18" s="45" customFormat="1" ht="12.95" customHeight="1" x14ac:dyDescent="0.25">
      <c r="B52" s="45" t="e">
        <f t="shared" si="0"/>
        <v>#REF!</v>
      </c>
      <c r="C52" s="208" t="e">
        <f>'TANK HARDWARE'!M287</f>
        <v>#REF!</v>
      </c>
      <c r="D52" s="165"/>
      <c r="E52" s="164"/>
      <c r="F52" s="209" t="e">
        <f>'TANK HARDWARE'!#REF!+P52</f>
        <v>#REF!</v>
      </c>
      <c r="G52" s="167"/>
      <c r="H52" s="167"/>
      <c r="I52" s="167"/>
      <c r="J52" s="167"/>
      <c r="K52" s="167"/>
      <c r="L52" s="168"/>
      <c r="N52" s="45" t="e">
        <f t="shared" si="2"/>
        <v>#REF!</v>
      </c>
      <c r="O52" s="45" t="e">
        <f>VLOOKUP(C52,#REF!,4,FALSE)</f>
        <v>#REF!</v>
      </c>
      <c r="P52" s="45">
        <f t="shared" si="3"/>
        <v>0</v>
      </c>
    </row>
    <row r="53" spans="2:18" s="45" customFormat="1" ht="12.75" customHeight="1" x14ac:dyDescent="0.25">
      <c r="B53" s="45" t="e">
        <f t="shared" si="0"/>
        <v>#REF!</v>
      </c>
      <c r="C53" s="208" t="e">
        <f>'TANK HARDWARE'!M288</f>
        <v>#REF!</v>
      </c>
      <c r="D53" s="165"/>
      <c r="E53" s="164"/>
      <c r="F53" s="209" t="e">
        <f>'TANK HARDWARE'!#REF!+P53</f>
        <v>#REF!</v>
      </c>
      <c r="G53" s="167"/>
      <c r="H53" s="167"/>
      <c r="I53" s="167"/>
      <c r="J53" s="167"/>
      <c r="K53" s="167"/>
      <c r="L53" s="168"/>
      <c r="N53" s="45" t="e">
        <f t="shared" si="2"/>
        <v>#REF!</v>
      </c>
      <c r="O53" s="45" t="e">
        <f>VLOOKUP(C53,#REF!,4,FALSE)</f>
        <v>#REF!</v>
      </c>
      <c r="P53" s="45">
        <f t="shared" si="3"/>
        <v>0</v>
      </c>
    </row>
    <row r="54" spans="2:18" s="45" customFormat="1" ht="12.75" hidden="1" customHeight="1" x14ac:dyDescent="0.25">
      <c r="B54" s="45" t="e">
        <f t="shared" si="0"/>
        <v>#REF!</v>
      </c>
      <c r="C54" s="208" t="e">
        <f>'TANK HARDWARE'!M289</f>
        <v>#REF!</v>
      </c>
      <c r="D54" s="165"/>
      <c r="E54" s="164"/>
      <c r="F54" s="209" t="e">
        <f>'TANK HARDWARE'!#REF!+P54</f>
        <v>#REF!</v>
      </c>
      <c r="G54" s="167"/>
      <c r="H54" s="167"/>
      <c r="I54" s="167"/>
      <c r="J54" s="167"/>
      <c r="K54" s="167"/>
      <c r="L54" s="168"/>
      <c r="N54" s="45" t="e">
        <f t="shared" si="2"/>
        <v>#REF!</v>
      </c>
      <c r="O54" s="45" t="e">
        <f>VLOOKUP(C54,#REF!,4,FALSE)</f>
        <v>#REF!</v>
      </c>
      <c r="P54" s="45">
        <f t="shared" si="3"/>
        <v>0</v>
      </c>
    </row>
    <row r="55" spans="2:18" s="45" customFormat="1" ht="12.75" hidden="1" customHeight="1" x14ac:dyDescent="0.25">
      <c r="B55" s="45" t="e">
        <f t="shared" si="0"/>
        <v>#REF!</v>
      </c>
      <c r="C55" s="208" t="e">
        <f>'TANK HARDWARE'!M290</f>
        <v>#REF!</v>
      </c>
      <c r="D55" s="165"/>
      <c r="E55" s="164"/>
      <c r="F55" s="209" t="e">
        <f>'TANK HARDWARE'!#REF!+P55</f>
        <v>#REF!</v>
      </c>
      <c r="G55" s="167"/>
      <c r="H55" s="167"/>
      <c r="I55" s="167"/>
      <c r="J55" s="167"/>
      <c r="K55" s="167"/>
      <c r="L55" s="168"/>
      <c r="N55" s="45" t="e">
        <f t="shared" si="2"/>
        <v>#REF!</v>
      </c>
      <c r="O55" s="45" t="e">
        <f>VLOOKUP(C55,#REF!,4,FALSE)</f>
        <v>#REF!</v>
      </c>
      <c r="P55" s="45">
        <f t="shared" si="3"/>
        <v>0</v>
      </c>
    </row>
    <row r="56" spans="2:18" s="45" customFormat="1" ht="12.75" hidden="1" customHeight="1" x14ac:dyDescent="0.25">
      <c r="B56" s="45" t="e">
        <f t="shared" si="0"/>
        <v>#REF!</v>
      </c>
      <c r="C56" s="208" t="e">
        <f>'TANK HARDWARE'!M291</f>
        <v>#REF!</v>
      </c>
      <c r="D56" s="165"/>
      <c r="E56" s="164"/>
      <c r="F56" s="209" t="e">
        <f>'TANK HARDWARE'!#REF!+P56</f>
        <v>#REF!</v>
      </c>
      <c r="G56" s="167"/>
      <c r="H56" s="167"/>
      <c r="I56" s="167"/>
      <c r="J56" s="167"/>
      <c r="K56" s="167"/>
      <c r="L56" s="168"/>
      <c r="N56" s="45" t="e">
        <f t="shared" si="2"/>
        <v>#REF!</v>
      </c>
      <c r="O56" s="45" t="e">
        <f>VLOOKUP(C56,#REF!,4,FALSE)</f>
        <v>#REF!</v>
      </c>
      <c r="P56" s="45">
        <f t="shared" si="3"/>
        <v>0</v>
      </c>
    </row>
    <row r="57" spans="2:18" s="45" customFormat="1" ht="12.75" hidden="1" customHeight="1" x14ac:dyDescent="0.25">
      <c r="B57" s="45" t="e">
        <f t="shared" si="0"/>
        <v>#REF!</v>
      </c>
      <c r="C57" s="208" t="e">
        <f>'TANK HARDWARE'!M292</f>
        <v>#REF!</v>
      </c>
      <c r="D57" s="165"/>
      <c r="E57" s="164"/>
      <c r="F57" s="209" t="e">
        <f>'TANK HARDWARE'!#REF!+P57</f>
        <v>#REF!</v>
      </c>
      <c r="G57" s="167"/>
      <c r="H57" s="167"/>
      <c r="I57" s="167"/>
      <c r="J57" s="167"/>
      <c r="K57" s="167"/>
      <c r="L57" s="168"/>
      <c r="N57" s="45" t="e">
        <f t="shared" ref="N57:N88" si="4">F57</f>
        <v>#REF!</v>
      </c>
      <c r="O57" s="45" t="e">
        <f>VLOOKUP(C57,#REF!,4,FALSE)</f>
        <v>#REF!</v>
      </c>
      <c r="P57" s="45">
        <f t="shared" ref="P57:P88" si="5">IFERROR(O57,0)</f>
        <v>0</v>
      </c>
    </row>
    <row r="58" spans="2:18" s="45" customFormat="1" ht="12.75" hidden="1" customHeight="1" x14ac:dyDescent="0.25">
      <c r="B58" s="45" t="e">
        <f t="shared" si="0"/>
        <v>#REF!</v>
      </c>
      <c r="C58" s="208" t="e">
        <f>'TANK HARDWARE'!M293</f>
        <v>#REF!</v>
      </c>
      <c r="D58" s="165"/>
      <c r="E58" s="164"/>
      <c r="F58" s="209" t="e">
        <f>'TANK HARDWARE'!#REF!+P58</f>
        <v>#REF!</v>
      </c>
      <c r="G58" s="167"/>
      <c r="H58" s="167"/>
      <c r="I58" s="167"/>
      <c r="J58" s="167"/>
      <c r="K58" s="167"/>
      <c r="L58" s="168"/>
      <c r="N58" s="45" t="e">
        <f t="shared" si="4"/>
        <v>#REF!</v>
      </c>
      <c r="O58" s="45" t="e">
        <f>VLOOKUP(C58,#REF!,4,FALSE)</f>
        <v>#REF!</v>
      </c>
      <c r="P58" s="45">
        <f t="shared" si="5"/>
        <v>0</v>
      </c>
    </row>
    <row r="59" spans="2:18" s="45" customFormat="1" ht="12.75" hidden="1" customHeight="1" x14ac:dyDescent="0.25">
      <c r="B59" s="45" t="e">
        <f t="shared" si="0"/>
        <v>#REF!</v>
      </c>
      <c r="C59" s="208" t="e">
        <f>'TANK HARDWARE'!M294</f>
        <v>#REF!</v>
      </c>
      <c r="D59" s="165"/>
      <c r="E59" s="164"/>
      <c r="F59" s="209" t="e">
        <f>'TANK HARDWARE'!#REF!+P59</f>
        <v>#REF!</v>
      </c>
      <c r="G59" s="167"/>
      <c r="H59" s="167"/>
      <c r="I59" s="167"/>
      <c r="J59" s="167"/>
      <c r="K59" s="167"/>
      <c r="L59" s="168"/>
      <c r="N59" s="45" t="e">
        <f t="shared" si="4"/>
        <v>#REF!</v>
      </c>
      <c r="O59" s="45" t="e">
        <f>VLOOKUP(C59,#REF!,4,FALSE)</f>
        <v>#REF!</v>
      </c>
      <c r="P59" s="45">
        <f t="shared" si="5"/>
        <v>0</v>
      </c>
    </row>
    <row r="60" spans="2:18" s="45" customFormat="1" ht="12.75" hidden="1" customHeight="1" x14ac:dyDescent="0.25">
      <c r="B60" s="45" t="e">
        <f t="shared" si="0"/>
        <v>#REF!</v>
      </c>
      <c r="C60" s="208" t="e">
        <f>'TANK HARDWARE'!M295</f>
        <v>#REF!</v>
      </c>
      <c r="D60" s="165"/>
      <c r="E60" s="164"/>
      <c r="F60" s="209" t="e">
        <f>'TANK HARDWARE'!#REF!+P60</f>
        <v>#REF!</v>
      </c>
      <c r="G60" s="167"/>
      <c r="H60" s="167"/>
      <c r="I60" s="167"/>
      <c r="J60" s="167"/>
      <c r="K60" s="167"/>
      <c r="L60" s="168"/>
      <c r="N60" s="45" t="e">
        <f t="shared" si="4"/>
        <v>#REF!</v>
      </c>
      <c r="O60" s="45" t="e">
        <f>VLOOKUP(C60,#REF!,4,FALSE)</f>
        <v>#REF!</v>
      </c>
      <c r="P60" s="45">
        <f t="shared" si="5"/>
        <v>0</v>
      </c>
    </row>
    <row r="61" spans="2:18" s="45" customFormat="1" ht="12.75" hidden="1" customHeight="1" x14ac:dyDescent="0.25">
      <c r="B61" s="45" t="e">
        <f t="shared" si="0"/>
        <v>#REF!</v>
      </c>
      <c r="C61" s="208" t="e">
        <f>'TANK HARDWARE'!M296</f>
        <v>#REF!</v>
      </c>
      <c r="D61" s="165"/>
      <c r="E61" s="164"/>
      <c r="F61" s="209" t="e">
        <f>'TANK HARDWARE'!#REF!+P61</f>
        <v>#REF!</v>
      </c>
      <c r="G61" s="167"/>
      <c r="H61" s="167"/>
      <c r="I61" s="167"/>
      <c r="J61" s="167"/>
      <c r="K61" s="167"/>
      <c r="L61" s="168"/>
      <c r="N61" s="45" t="e">
        <f t="shared" si="4"/>
        <v>#REF!</v>
      </c>
      <c r="O61" s="45" t="e">
        <f>VLOOKUP(C61,#REF!,4,FALSE)</f>
        <v>#REF!</v>
      </c>
      <c r="P61" s="45">
        <f t="shared" si="5"/>
        <v>0</v>
      </c>
    </row>
    <row r="62" spans="2:18" s="45" customFormat="1" ht="12.75" hidden="1" customHeight="1" x14ac:dyDescent="0.25">
      <c r="B62" s="45" t="e">
        <f t="shared" si="0"/>
        <v>#REF!</v>
      </c>
      <c r="C62" s="208" t="e">
        <f>'TANK HARDWARE'!M297</f>
        <v>#REF!</v>
      </c>
      <c r="D62" s="165"/>
      <c r="E62" s="164"/>
      <c r="F62" s="209" t="e">
        <f>'TANK HARDWARE'!#REF!+P62</f>
        <v>#REF!</v>
      </c>
      <c r="G62" s="167"/>
      <c r="H62" s="167"/>
      <c r="I62" s="167"/>
      <c r="J62" s="167"/>
      <c r="K62" s="167"/>
      <c r="L62" s="168"/>
      <c r="N62" s="45" t="e">
        <f t="shared" si="4"/>
        <v>#REF!</v>
      </c>
      <c r="O62" s="45" t="e">
        <f>VLOOKUP(C62,#REF!,4,FALSE)</f>
        <v>#REF!</v>
      </c>
      <c r="P62" s="45">
        <f t="shared" si="5"/>
        <v>0</v>
      </c>
    </row>
    <row r="63" spans="2:18" s="45" customFormat="1" ht="12.95" customHeight="1" x14ac:dyDescent="0.25">
      <c r="B63" s="45" t="e">
        <f t="shared" si="0"/>
        <v>#REF!</v>
      </c>
      <c r="C63" s="208" t="e">
        <f>'TANK HARDWARE'!M301</f>
        <v>#REF!</v>
      </c>
      <c r="D63" s="165"/>
      <c r="E63" s="164"/>
      <c r="F63" s="209" t="e">
        <f>'TANK HARDWARE'!#REF!+P63</f>
        <v>#REF!</v>
      </c>
      <c r="G63" s="167"/>
      <c r="H63" s="167"/>
      <c r="I63" s="167"/>
      <c r="J63" s="167"/>
      <c r="K63" s="167"/>
      <c r="L63" s="168"/>
      <c r="N63" s="45" t="e">
        <f t="shared" si="4"/>
        <v>#REF!</v>
      </c>
      <c r="O63" s="45" t="e">
        <f>VLOOKUP(C63,#REF!,4,FALSE)</f>
        <v>#REF!</v>
      </c>
      <c r="P63" s="45">
        <f t="shared" si="5"/>
        <v>0</v>
      </c>
    </row>
    <row r="64" spans="2:18" s="45" customFormat="1" ht="12.75" customHeight="1" x14ac:dyDescent="0.25">
      <c r="B64" s="45" t="e">
        <f t="shared" si="0"/>
        <v>#REF!</v>
      </c>
      <c r="C64" s="208" t="e">
        <f>'TANK HARDWARE'!M302</f>
        <v>#REF!</v>
      </c>
      <c r="D64" s="165"/>
      <c r="E64" s="164"/>
      <c r="F64" s="209" t="e">
        <f>'TANK HARDWARE'!#REF!+P64</f>
        <v>#REF!</v>
      </c>
      <c r="G64" s="167"/>
      <c r="H64" s="167"/>
      <c r="I64" s="167"/>
      <c r="J64" s="167"/>
      <c r="K64" s="167"/>
      <c r="L64" s="168"/>
      <c r="N64" s="45" t="e">
        <f t="shared" si="4"/>
        <v>#REF!</v>
      </c>
      <c r="O64" s="45" t="e">
        <f>VLOOKUP(C64,#REF!,4,FALSE)</f>
        <v>#REF!</v>
      </c>
      <c r="P64" s="45">
        <f t="shared" si="5"/>
        <v>0</v>
      </c>
    </row>
    <row r="65" spans="2:16" s="45" customFormat="1" ht="12.95" customHeight="1" x14ac:dyDescent="0.25">
      <c r="B65" s="45" t="e">
        <f t="shared" si="0"/>
        <v>#REF!</v>
      </c>
      <c r="C65" s="208" t="e">
        <f>'TANK HARDWARE'!M303</f>
        <v>#REF!</v>
      </c>
      <c r="D65" s="165"/>
      <c r="E65" s="164"/>
      <c r="F65" s="209" t="e">
        <f>'TANK HARDWARE'!#REF!+P65</f>
        <v>#REF!</v>
      </c>
      <c r="G65" s="167"/>
      <c r="H65" s="167"/>
      <c r="I65" s="167"/>
      <c r="J65" s="167"/>
      <c r="K65" s="167"/>
      <c r="L65" s="168"/>
      <c r="N65" s="45" t="e">
        <f t="shared" si="4"/>
        <v>#REF!</v>
      </c>
      <c r="O65" s="45" t="e">
        <f>VLOOKUP(C65,#REF!,4,FALSE)</f>
        <v>#REF!</v>
      </c>
      <c r="P65" s="45">
        <f t="shared" si="5"/>
        <v>0</v>
      </c>
    </row>
    <row r="66" spans="2:16" s="45" customFormat="1" ht="12.95" customHeight="1" x14ac:dyDescent="0.25">
      <c r="B66" s="45" t="e">
        <f t="shared" si="0"/>
        <v>#REF!</v>
      </c>
      <c r="C66" s="208" t="e">
        <f>'TANK HARDWARE'!M304</f>
        <v>#REF!</v>
      </c>
      <c r="D66" s="165"/>
      <c r="E66" s="164"/>
      <c r="F66" s="209" t="e">
        <f>'TANK HARDWARE'!#REF!+P66</f>
        <v>#REF!</v>
      </c>
      <c r="G66" s="167"/>
      <c r="H66" s="167"/>
      <c r="I66" s="167"/>
      <c r="J66" s="167"/>
      <c r="K66" s="167"/>
      <c r="L66" s="168"/>
      <c r="N66" s="45" t="e">
        <f t="shared" si="4"/>
        <v>#REF!</v>
      </c>
      <c r="O66" s="45" t="e">
        <f>VLOOKUP(C66,#REF!,4,FALSE)</f>
        <v>#REF!</v>
      </c>
      <c r="P66" s="45">
        <f t="shared" si="5"/>
        <v>0</v>
      </c>
    </row>
    <row r="67" spans="2:16" s="45" customFormat="1" ht="12.95" customHeight="1" x14ac:dyDescent="0.25">
      <c r="B67" s="45" t="e">
        <f t="shared" si="0"/>
        <v>#REF!</v>
      </c>
      <c r="C67" s="208" t="e">
        <f>'TANK HARDWARE'!M305</f>
        <v>#REF!</v>
      </c>
      <c r="D67" s="165"/>
      <c r="E67" s="164"/>
      <c r="F67" s="209" t="e">
        <f>'TANK HARDWARE'!#REF!+P67</f>
        <v>#REF!</v>
      </c>
      <c r="G67" s="167"/>
      <c r="H67" s="167"/>
      <c r="I67" s="167"/>
      <c r="J67" s="167"/>
      <c r="K67" s="167"/>
      <c r="L67" s="168"/>
      <c r="N67" s="45" t="e">
        <f t="shared" si="4"/>
        <v>#REF!</v>
      </c>
      <c r="O67" s="45" t="e">
        <f>VLOOKUP(C67,#REF!,4,FALSE)</f>
        <v>#REF!</v>
      </c>
      <c r="P67" s="45">
        <f t="shared" si="5"/>
        <v>0</v>
      </c>
    </row>
    <row r="68" spans="2:16" s="45" customFormat="1" ht="12.95" customHeight="1" x14ac:dyDescent="0.25">
      <c r="B68" s="45" t="e">
        <f t="shared" si="0"/>
        <v>#REF!</v>
      </c>
      <c r="C68" s="208" t="e">
        <f>'TANK HARDWARE'!M306</f>
        <v>#REF!</v>
      </c>
      <c r="D68" s="165"/>
      <c r="E68" s="164"/>
      <c r="F68" s="209" t="e">
        <f>'TANK HARDWARE'!#REF!+P68</f>
        <v>#REF!</v>
      </c>
      <c r="G68" s="167"/>
      <c r="H68" s="167"/>
      <c r="I68" s="167"/>
      <c r="J68" s="167"/>
      <c r="K68" s="167"/>
      <c r="L68" s="168"/>
      <c r="N68" s="45" t="e">
        <f t="shared" si="4"/>
        <v>#REF!</v>
      </c>
      <c r="O68" s="45" t="e">
        <f>VLOOKUP(C68,#REF!,4,FALSE)</f>
        <v>#REF!</v>
      </c>
      <c r="P68" s="45">
        <f t="shared" si="5"/>
        <v>0</v>
      </c>
    </row>
    <row r="69" spans="2:16" s="45" customFormat="1" ht="12.75" customHeight="1" x14ac:dyDescent="0.25">
      <c r="B69" s="45" t="e">
        <f t="shared" si="0"/>
        <v>#REF!</v>
      </c>
      <c r="C69" s="208" t="e">
        <f>'TANK HARDWARE'!M307</f>
        <v>#REF!</v>
      </c>
      <c r="D69" s="165"/>
      <c r="E69" s="164"/>
      <c r="F69" s="209" t="e">
        <f>'TANK HARDWARE'!#REF!+P69</f>
        <v>#REF!</v>
      </c>
      <c r="G69" s="167"/>
      <c r="H69" s="167"/>
      <c r="I69" s="167"/>
      <c r="J69" s="167"/>
      <c r="K69" s="167"/>
      <c r="L69" s="168"/>
      <c r="N69" s="45" t="e">
        <f t="shared" si="4"/>
        <v>#REF!</v>
      </c>
      <c r="O69" s="45" t="e">
        <f>VLOOKUP(C69,#REF!,4,FALSE)</f>
        <v>#REF!</v>
      </c>
      <c r="P69" s="45">
        <f t="shared" si="5"/>
        <v>0</v>
      </c>
    </row>
    <row r="70" spans="2:16" s="45" customFormat="1" ht="12.75" customHeight="1" x14ac:dyDescent="0.25">
      <c r="B70" s="45" t="e">
        <f t="shared" si="0"/>
        <v>#REF!</v>
      </c>
      <c r="C70" s="208" t="e">
        <f>'TANK HARDWARE'!M308</f>
        <v>#REF!</v>
      </c>
      <c r="D70" s="165"/>
      <c r="E70" s="164"/>
      <c r="F70" s="209" t="e">
        <f>'TANK HARDWARE'!#REF!+P70</f>
        <v>#REF!</v>
      </c>
      <c r="G70" s="167"/>
      <c r="H70" s="167"/>
      <c r="I70" s="167"/>
      <c r="J70" s="167"/>
      <c r="K70" s="167"/>
      <c r="L70" s="168"/>
      <c r="N70" s="45" t="e">
        <f t="shared" si="4"/>
        <v>#REF!</v>
      </c>
      <c r="O70" s="45" t="e">
        <f>VLOOKUP(C70,#REF!,4,FALSE)</f>
        <v>#REF!</v>
      </c>
      <c r="P70" s="45">
        <f t="shared" si="5"/>
        <v>0</v>
      </c>
    </row>
    <row r="71" spans="2:16" s="45" customFormat="1" ht="12.95" hidden="1" customHeight="1" x14ac:dyDescent="0.25">
      <c r="B71" s="45" t="e">
        <f t="shared" si="0"/>
        <v>#REF!</v>
      </c>
      <c r="C71" s="208" t="e">
        <f>'TANK HARDWARE'!M309</f>
        <v>#REF!</v>
      </c>
      <c r="D71" s="165"/>
      <c r="E71" s="164"/>
      <c r="F71" s="209" t="e">
        <f>'TANK HARDWARE'!#REF!+P71</f>
        <v>#REF!</v>
      </c>
      <c r="G71" s="167"/>
      <c r="H71" s="167"/>
      <c r="I71" s="167"/>
      <c r="J71" s="167"/>
      <c r="K71" s="167"/>
      <c r="L71" s="168"/>
      <c r="N71" s="45" t="e">
        <f t="shared" si="4"/>
        <v>#REF!</v>
      </c>
      <c r="O71" s="45" t="e">
        <f>VLOOKUP(C71,#REF!,4,FALSE)</f>
        <v>#REF!</v>
      </c>
      <c r="P71" s="45">
        <f t="shared" si="5"/>
        <v>0</v>
      </c>
    </row>
    <row r="72" spans="2:16" s="45" customFormat="1" ht="12.75" customHeight="1" x14ac:dyDescent="0.25">
      <c r="B72" s="45" t="e">
        <f t="shared" si="0"/>
        <v>#REF!</v>
      </c>
      <c r="C72" s="208" t="e">
        <f>'TANK HARDWARE'!M310</f>
        <v>#REF!</v>
      </c>
      <c r="D72" s="165"/>
      <c r="E72" s="164"/>
      <c r="F72" s="209" t="e">
        <f>'TANK HARDWARE'!#REF!+P72</f>
        <v>#REF!</v>
      </c>
      <c r="G72" s="167"/>
      <c r="H72" s="167"/>
      <c r="I72" s="167"/>
      <c r="J72" s="167"/>
      <c r="K72" s="167"/>
      <c r="L72" s="168"/>
      <c r="N72" s="45" t="e">
        <f t="shared" si="4"/>
        <v>#REF!</v>
      </c>
      <c r="O72" s="45" t="e">
        <f>VLOOKUP(C72,#REF!,4,FALSE)</f>
        <v>#REF!</v>
      </c>
      <c r="P72" s="45">
        <f t="shared" si="5"/>
        <v>0</v>
      </c>
    </row>
    <row r="73" spans="2:16" s="45" customFormat="1" ht="12.75" hidden="1" customHeight="1" x14ac:dyDescent="0.25">
      <c r="B73" s="45" t="e">
        <f t="shared" si="0"/>
        <v>#REF!</v>
      </c>
      <c r="C73" s="208" t="e">
        <f>'TANK HARDWARE'!M311</f>
        <v>#REF!</v>
      </c>
      <c r="D73" s="165"/>
      <c r="E73" s="164"/>
      <c r="F73" s="209" t="e">
        <f>'TANK HARDWARE'!#REF!+P73</f>
        <v>#REF!</v>
      </c>
      <c r="G73" s="167"/>
      <c r="H73" s="167"/>
      <c r="I73" s="167"/>
      <c r="J73" s="167"/>
      <c r="K73" s="167"/>
      <c r="L73" s="168"/>
      <c r="N73" s="45" t="e">
        <f t="shared" si="4"/>
        <v>#REF!</v>
      </c>
      <c r="O73" s="45" t="e">
        <f>VLOOKUP(C73,#REF!,4,FALSE)</f>
        <v>#REF!</v>
      </c>
      <c r="P73" s="45">
        <f t="shared" si="5"/>
        <v>0</v>
      </c>
    </row>
    <row r="74" spans="2:16" s="45" customFormat="1" ht="12.75" hidden="1" customHeight="1" x14ac:dyDescent="0.25">
      <c r="B74" s="45" t="e">
        <f t="shared" si="0"/>
        <v>#REF!</v>
      </c>
      <c r="C74" s="208" t="e">
        <f>'TANK HARDWARE'!M312</f>
        <v>#REF!</v>
      </c>
      <c r="D74" s="165"/>
      <c r="E74" s="164"/>
      <c r="F74" s="209" t="e">
        <f>'TANK HARDWARE'!#REF!+P74</f>
        <v>#REF!</v>
      </c>
      <c r="G74" s="167"/>
      <c r="H74" s="167"/>
      <c r="I74" s="167"/>
      <c r="J74" s="167"/>
      <c r="K74" s="167"/>
      <c r="L74" s="168"/>
      <c r="N74" s="45" t="e">
        <f t="shared" si="4"/>
        <v>#REF!</v>
      </c>
      <c r="O74" s="45" t="e">
        <f>VLOOKUP(C74,#REF!,4,FALSE)</f>
        <v>#REF!</v>
      </c>
      <c r="P74" s="45">
        <f t="shared" si="5"/>
        <v>0</v>
      </c>
    </row>
    <row r="75" spans="2:16" s="45" customFormat="1" ht="12.75" hidden="1" customHeight="1" x14ac:dyDescent="0.25">
      <c r="B75" s="45" t="e">
        <f t="shared" ref="B75:B138" si="6">IF(N75=0,0,1)</f>
        <v>#REF!</v>
      </c>
      <c r="C75" s="208" t="e">
        <f>'TANK HARDWARE'!M313</f>
        <v>#REF!</v>
      </c>
      <c r="D75" s="165"/>
      <c r="E75" s="164"/>
      <c r="F75" s="209" t="e">
        <f>'TANK HARDWARE'!#REF!+P75</f>
        <v>#REF!</v>
      </c>
      <c r="G75" s="167"/>
      <c r="H75" s="167"/>
      <c r="I75" s="167"/>
      <c r="J75" s="167"/>
      <c r="K75" s="167"/>
      <c r="L75" s="168"/>
      <c r="N75" s="45" t="e">
        <f t="shared" si="4"/>
        <v>#REF!</v>
      </c>
      <c r="O75" s="45" t="e">
        <f>VLOOKUP(C75,#REF!,4,FALSE)</f>
        <v>#REF!</v>
      </c>
      <c r="P75" s="45">
        <f t="shared" si="5"/>
        <v>0</v>
      </c>
    </row>
    <row r="76" spans="2:16" s="45" customFormat="1" ht="12.75" hidden="1" customHeight="1" x14ac:dyDescent="0.25">
      <c r="B76" s="45" t="e">
        <f t="shared" si="6"/>
        <v>#REF!</v>
      </c>
      <c r="C76" s="208" t="e">
        <f>'TANK HARDWARE'!M314</f>
        <v>#REF!</v>
      </c>
      <c r="D76" s="165"/>
      <c r="E76" s="164"/>
      <c r="F76" s="209" t="e">
        <f>'TANK HARDWARE'!#REF!+P76</f>
        <v>#REF!</v>
      </c>
      <c r="G76" s="167"/>
      <c r="H76" s="167"/>
      <c r="I76" s="167"/>
      <c r="J76" s="167"/>
      <c r="K76" s="167"/>
      <c r="L76" s="168"/>
      <c r="N76" s="45" t="e">
        <f t="shared" si="4"/>
        <v>#REF!</v>
      </c>
      <c r="O76" s="45" t="e">
        <f>VLOOKUP(C76,#REF!,4,FALSE)</f>
        <v>#REF!</v>
      </c>
      <c r="P76" s="45">
        <f t="shared" si="5"/>
        <v>0</v>
      </c>
    </row>
    <row r="77" spans="2:16" s="45" customFormat="1" ht="12.75" hidden="1" customHeight="1" x14ac:dyDescent="0.25">
      <c r="B77" s="45" t="e">
        <f t="shared" si="6"/>
        <v>#REF!</v>
      </c>
      <c r="C77" s="208" t="e">
        <f>'TANK HARDWARE'!M315</f>
        <v>#REF!</v>
      </c>
      <c r="D77" s="165"/>
      <c r="E77" s="164"/>
      <c r="F77" s="209" t="e">
        <f>'TANK HARDWARE'!#REF!+P77</f>
        <v>#REF!</v>
      </c>
      <c r="G77" s="167"/>
      <c r="H77" s="167"/>
      <c r="I77" s="167"/>
      <c r="J77" s="167"/>
      <c r="K77" s="167"/>
      <c r="L77" s="168"/>
      <c r="N77" s="45" t="e">
        <f t="shared" si="4"/>
        <v>#REF!</v>
      </c>
      <c r="O77" s="45" t="e">
        <f>VLOOKUP(C77,#REF!,4,FALSE)</f>
        <v>#REF!</v>
      </c>
      <c r="P77" s="45">
        <f t="shared" si="5"/>
        <v>0</v>
      </c>
    </row>
    <row r="78" spans="2:16" s="45" customFormat="1" ht="12.95" customHeight="1" x14ac:dyDescent="0.25">
      <c r="B78" s="45" t="e">
        <f t="shared" si="6"/>
        <v>#REF!</v>
      </c>
      <c r="C78" s="208" t="e">
        <f>'TANK HARDWARE'!M322</f>
        <v>#REF!</v>
      </c>
      <c r="D78" s="165"/>
      <c r="E78" s="164"/>
      <c r="F78" s="209" t="e">
        <f>'TANK HARDWARE'!#REF!+P78</f>
        <v>#REF!</v>
      </c>
      <c r="G78" s="167"/>
      <c r="H78" s="167"/>
      <c r="I78" s="167"/>
      <c r="J78" s="167"/>
      <c r="K78" s="167"/>
      <c r="L78" s="168"/>
      <c r="N78" s="45" t="e">
        <f t="shared" si="4"/>
        <v>#REF!</v>
      </c>
      <c r="O78" s="45" t="e">
        <f>VLOOKUP(C78,#REF!,4,FALSE)</f>
        <v>#REF!</v>
      </c>
      <c r="P78" s="45">
        <f t="shared" si="5"/>
        <v>0</v>
      </c>
    </row>
    <row r="79" spans="2:16" s="45" customFormat="1" ht="12.75" customHeight="1" x14ac:dyDescent="0.25">
      <c r="B79" s="45" t="e">
        <f t="shared" si="6"/>
        <v>#REF!</v>
      </c>
      <c r="C79" s="208" t="e">
        <f>'TANK HARDWARE'!M323</f>
        <v>#REF!</v>
      </c>
      <c r="D79" s="165"/>
      <c r="E79" s="164"/>
      <c r="F79" s="209" t="e">
        <f>'TANK HARDWARE'!#REF!+P79</f>
        <v>#REF!</v>
      </c>
      <c r="G79" s="167"/>
      <c r="H79" s="167"/>
      <c r="I79" s="167"/>
      <c r="J79" s="167"/>
      <c r="K79" s="167"/>
      <c r="L79" s="168"/>
      <c r="N79" s="45" t="e">
        <f t="shared" si="4"/>
        <v>#REF!</v>
      </c>
      <c r="O79" s="45" t="e">
        <f>VLOOKUP(C79,#REF!,4,FALSE)</f>
        <v>#REF!</v>
      </c>
      <c r="P79" s="45">
        <f t="shared" si="5"/>
        <v>0</v>
      </c>
    </row>
    <row r="80" spans="2:16" s="45" customFormat="1" ht="12.75" hidden="1" customHeight="1" x14ac:dyDescent="0.25">
      <c r="B80" s="45" t="e">
        <f t="shared" si="6"/>
        <v>#REF!</v>
      </c>
      <c r="C80" s="208" t="e">
        <f>'TANK HARDWARE'!M324</f>
        <v>#REF!</v>
      </c>
      <c r="D80" s="165"/>
      <c r="E80" s="164"/>
      <c r="F80" s="209" t="e">
        <f>'TANK HARDWARE'!#REF!+P80</f>
        <v>#REF!</v>
      </c>
      <c r="G80" s="167"/>
      <c r="H80" s="167"/>
      <c r="I80" s="167"/>
      <c r="J80" s="167"/>
      <c r="K80" s="167"/>
      <c r="L80" s="168"/>
      <c r="N80" s="45" t="e">
        <f t="shared" si="4"/>
        <v>#REF!</v>
      </c>
      <c r="O80" s="45" t="e">
        <f>VLOOKUP(C80,#REF!,4,FALSE)</f>
        <v>#REF!</v>
      </c>
      <c r="P80" s="45">
        <f t="shared" si="5"/>
        <v>0</v>
      </c>
    </row>
    <row r="81" spans="2:16" s="45" customFormat="1" ht="12.95" customHeight="1" x14ac:dyDescent="0.25">
      <c r="B81" s="45" t="e">
        <f t="shared" si="6"/>
        <v>#REF!</v>
      </c>
      <c r="C81" s="208" t="e">
        <f>'TANK HARDWARE'!M325</f>
        <v>#REF!</v>
      </c>
      <c r="D81" s="165"/>
      <c r="E81" s="164"/>
      <c r="F81" s="209" t="e">
        <f>'TANK HARDWARE'!#REF!+P81</f>
        <v>#REF!</v>
      </c>
      <c r="G81" s="167"/>
      <c r="H81" s="167"/>
      <c r="I81" s="167"/>
      <c r="J81" s="167"/>
      <c r="K81" s="167"/>
      <c r="L81" s="168"/>
      <c r="N81" s="45" t="e">
        <f t="shared" si="4"/>
        <v>#REF!</v>
      </c>
      <c r="O81" s="45" t="e">
        <f>VLOOKUP(C81,#REF!,4,FALSE)</f>
        <v>#REF!</v>
      </c>
      <c r="P81" s="45">
        <f t="shared" si="5"/>
        <v>0</v>
      </c>
    </row>
    <row r="82" spans="2:16" s="45" customFormat="1" ht="12.75" hidden="1" customHeight="1" x14ac:dyDescent="0.25">
      <c r="B82" s="45" t="e">
        <f t="shared" si="6"/>
        <v>#REF!</v>
      </c>
      <c r="C82" s="208" t="e">
        <f>'TANK HARDWARE'!M326</f>
        <v>#REF!</v>
      </c>
      <c r="D82" s="165"/>
      <c r="E82" s="164"/>
      <c r="F82" s="209" t="e">
        <f>'TANK HARDWARE'!#REF!+P82</f>
        <v>#REF!</v>
      </c>
      <c r="G82" s="167"/>
      <c r="H82" s="167"/>
      <c r="I82" s="167"/>
      <c r="J82" s="167"/>
      <c r="K82" s="167"/>
      <c r="L82" s="168"/>
      <c r="N82" s="45" t="e">
        <f t="shared" si="4"/>
        <v>#REF!</v>
      </c>
      <c r="O82" s="45" t="e">
        <f>VLOOKUP(C82,#REF!,4,FALSE)</f>
        <v>#REF!</v>
      </c>
      <c r="P82" s="45">
        <f t="shared" si="5"/>
        <v>0</v>
      </c>
    </row>
    <row r="83" spans="2:16" s="45" customFormat="1" ht="12.95" customHeight="1" x14ac:dyDescent="0.25">
      <c r="B83" s="45" t="e">
        <f t="shared" si="6"/>
        <v>#REF!</v>
      </c>
      <c r="C83" s="208" t="e">
        <f>'TANK HARDWARE'!M327</f>
        <v>#REF!</v>
      </c>
      <c r="D83" s="165"/>
      <c r="E83" s="164"/>
      <c r="F83" s="209" t="e">
        <f>'TANK HARDWARE'!#REF!+P83</f>
        <v>#REF!</v>
      </c>
      <c r="G83" s="167"/>
      <c r="H83" s="167"/>
      <c r="I83" s="167"/>
      <c r="J83" s="167"/>
      <c r="K83" s="167"/>
      <c r="L83" s="168"/>
      <c r="N83" s="45" t="e">
        <f t="shared" si="4"/>
        <v>#REF!</v>
      </c>
      <c r="O83" s="45" t="e">
        <f>VLOOKUP(C83,#REF!,4,FALSE)</f>
        <v>#REF!</v>
      </c>
      <c r="P83" s="45">
        <f t="shared" si="5"/>
        <v>0</v>
      </c>
    </row>
    <row r="84" spans="2:16" s="45" customFormat="1" ht="12.95" customHeight="1" x14ac:dyDescent="0.25">
      <c r="B84" s="45" t="e">
        <f t="shared" si="6"/>
        <v>#REF!</v>
      </c>
      <c r="C84" s="208" t="e">
        <f>'TANK HARDWARE'!M328</f>
        <v>#REF!</v>
      </c>
      <c r="D84" s="165"/>
      <c r="E84" s="164"/>
      <c r="F84" s="209" t="e">
        <f>'TANK HARDWARE'!#REF!+P84</f>
        <v>#REF!</v>
      </c>
      <c r="G84" s="167"/>
      <c r="H84" s="167"/>
      <c r="I84" s="167"/>
      <c r="J84" s="167"/>
      <c r="K84" s="167"/>
      <c r="L84" s="168"/>
      <c r="N84" s="45" t="e">
        <f t="shared" si="4"/>
        <v>#REF!</v>
      </c>
      <c r="O84" s="45" t="e">
        <f>VLOOKUP(C84,#REF!,4,FALSE)</f>
        <v>#REF!</v>
      </c>
      <c r="P84" s="45">
        <f t="shared" si="5"/>
        <v>0</v>
      </c>
    </row>
    <row r="85" spans="2:16" s="45" customFormat="1" ht="12.95" customHeight="1" x14ac:dyDescent="0.25">
      <c r="B85" s="45" t="e">
        <f t="shared" si="6"/>
        <v>#REF!</v>
      </c>
      <c r="C85" s="208" t="e">
        <f>'TANK HARDWARE'!M329</f>
        <v>#REF!</v>
      </c>
      <c r="D85" s="165"/>
      <c r="E85" s="164"/>
      <c r="F85" s="209" t="e">
        <f>'TANK HARDWARE'!#REF!+P85</f>
        <v>#REF!</v>
      </c>
      <c r="G85" s="167"/>
      <c r="H85" s="167"/>
      <c r="I85" s="167"/>
      <c r="J85" s="167"/>
      <c r="K85" s="167"/>
      <c r="L85" s="168"/>
      <c r="N85" s="45" t="e">
        <f t="shared" si="4"/>
        <v>#REF!</v>
      </c>
      <c r="O85" s="45" t="e">
        <f>VLOOKUP(C85,#REF!,4,FALSE)</f>
        <v>#REF!</v>
      </c>
      <c r="P85" s="45">
        <f t="shared" si="5"/>
        <v>0</v>
      </c>
    </row>
    <row r="86" spans="2:16" s="45" customFormat="1" ht="12.95" customHeight="1" x14ac:dyDescent="0.25">
      <c r="B86" s="45" t="e">
        <f t="shared" si="6"/>
        <v>#REF!</v>
      </c>
      <c r="C86" s="208" t="e">
        <f>'TANK HARDWARE'!M330</f>
        <v>#REF!</v>
      </c>
      <c r="D86" s="165"/>
      <c r="E86" s="164"/>
      <c r="F86" s="209" t="e">
        <f>'TANK HARDWARE'!#REF!+P86</f>
        <v>#REF!</v>
      </c>
      <c r="G86" s="167"/>
      <c r="H86" s="167"/>
      <c r="I86" s="167"/>
      <c r="J86" s="167"/>
      <c r="K86" s="167"/>
      <c r="L86" s="168"/>
      <c r="N86" s="45" t="e">
        <f t="shared" si="4"/>
        <v>#REF!</v>
      </c>
      <c r="O86" s="45" t="e">
        <f>VLOOKUP(C86,#REF!,4,FALSE)</f>
        <v>#REF!</v>
      </c>
      <c r="P86" s="45">
        <f t="shared" si="5"/>
        <v>0</v>
      </c>
    </row>
    <row r="87" spans="2:16" s="45" customFormat="1" ht="12.75" hidden="1" customHeight="1" x14ac:dyDescent="0.25">
      <c r="B87" s="45" t="e">
        <f t="shared" si="6"/>
        <v>#REF!</v>
      </c>
      <c r="C87" s="208" t="e">
        <f>'TANK HARDWARE'!M331</f>
        <v>#REF!</v>
      </c>
      <c r="D87" s="165"/>
      <c r="E87" s="164"/>
      <c r="F87" s="209" t="e">
        <f>'TANK HARDWARE'!#REF!+P87</f>
        <v>#REF!</v>
      </c>
      <c r="G87" s="167"/>
      <c r="H87" s="167"/>
      <c r="I87" s="167"/>
      <c r="J87" s="167"/>
      <c r="K87" s="167"/>
      <c r="L87" s="168"/>
      <c r="N87" s="45" t="e">
        <f t="shared" si="4"/>
        <v>#REF!</v>
      </c>
      <c r="O87" s="45" t="e">
        <f>VLOOKUP(C87,#REF!,4,FALSE)</f>
        <v>#REF!</v>
      </c>
      <c r="P87" s="45">
        <f t="shared" si="5"/>
        <v>0</v>
      </c>
    </row>
    <row r="88" spans="2:16" s="45" customFormat="1" ht="12.75" customHeight="1" x14ac:dyDescent="0.25">
      <c r="B88" s="45" t="e">
        <f t="shared" si="6"/>
        <v>#REF!</v>
      </c>
      <c r="C88" s="208" t="e">
        <f>'TANK HARDWARE'!M332</f>
        <v>#REF!</v>
      </c>
      <c r="D88" s="165"/>
      <c r="E88" s="164"/>
      <c r="F88" s="209" t="e">
        <f>'TANK HARDWARE'!#REF!+P88</f>
        <v>#REF!</v>
      </c>
      <c r="G88" s="167"/>
      <c r="H88" s="167"/>
      <c r="I88" s="167"/>
      <c r="J88" s="167"/>
      <c r="K88" s="167"/>
      <c r="L88" s="168"/>
      <c r="N88" s="45" t="e">
        <f t="shared" si="4"/>
        <v>#REF!</v>
      </c>
      <c r="O88" s="45" t="e">
        <f>VLOOKUP(C88,#REF!,4,FALSE)</f>
        <v>#REF!</v>
      </c>
      <c r="P88" s="45">
        <f t="shared" si="5"/>
        <v>0</v>
      </c>
    </row>
    <row r="89" spans="2:16" s="45" customFormat="1" ht="12.75" hidden="1" customHeight="1" x14ac:dyDescent="0.25">
      <c r="B89" s="45" t="e">
        <f t="shared" si="6"/>
        <v>#REF!</v>
      </c>
      <c r="C89" s="208" t="e">
        <f>'TANK HARDWARE'!M333</f>
        <v>#REF!</v>
      </c>
      <c r="D89" s="165"/>
      <c r="E89" s="164"/>
      <c r="F89" s="209" t="e">
        <f>'TANK HARDWARE'!#REF!+P89</f>
        <v>#REF!</v>
      </c>
      <c r="G89" s="167"/>
      <c r="H89" s="167"/>
      <c r="I89" s="167"/>
      <c r="J89" s="167"/>
      <c r="K89" s="167"/>
      <c r="L89" s="168"/>
      <c r="N89" s="45" t="e">
        <f t="shared" ref="N89:N120" si="7">F89</f>
        <v>#REF!</v>
      </c>
      <c r="O89" s="45" t="e">
        <f>VLOOKUP(C89,#REF!,4,FALSE)</f>
        <v>#REF!</v>
      </c>
      <c r="P89" s="45">
        <f t="shared" ref="P89:P120" si="8">IFERROR(O89,0)</f>
        <v>0</v>
      </c>
    </row>
    <row r="90" spans="2:16" s="45" customFormat="1" ht="12.75" hidden="1" customHeight="1" x14ac:dyDescent="0.25">
      <c r="B90" s="45" t="e">
        <f t="shared" si="6"/>
        <v>#REF!</v>
      </c>
      <c r="C90" s="208" t="e">
        <f>'TANK HARDWARE'!M334</f>
        <v>#REF!</v>
      </c>
      <c r="D90" s="165"/>
      <c r="E90" s="164"/>
      <c r="F90" s="209" t="e">
        <f>'TANK HARDWARE'!#REF!+P90</f>
        <v>#REF!</v>
      </c>
      <c r="G90" s="167"/>
      <c r="H90" s="167"/>
      <c r="I90" s="167"/>
      <c r="J90" s="167"/>
      <c r="K90" s="167"/>
      <c r="L90" s="168"/>
      <c r="N90" s="45" t="e">
        <f t="shared" si="7"/>
        <v>#REF!</v>
      </c>
      <c r="O90" s="45" t="e">
        <f>VLOOKUP(C90,#REF!,4,FALSE)</f>
        <v>#REF!</v>
      </c>
      <c r="P90" s="45">
        <f t="shared" si="8"/>
        <v>0</v>
      </c>
    </row>
    <row r="91" spans="2:16" s="45" customFormat="1" ht="12.95" hidden="1" customHeight="1" x14ac:dyDescent="0.25">
      <c r="B91" s="45" t="e">
        <f t="shared" si="6"/>
        <v>#REF!</v>
      </c>
      <c r="C91" s="208" t="e">
        <f>'TANK HARDWARE'!M335</f>
        <v>#REF!</v>
      </c>
      <c r="D91" s="165"/>
      <c r="E91" s="164"/>
      <c r="F91" s="209" t="e">
        <f>'TANK HARDWARE'!#REF!+P91</f>
        <v>#REF!</v>
      </c>
      <c r="G91" s="167"/>
      <c r="H91" s="167"/>
      <c r="I91" s="167"/>
      <c r="J91" s="167"/>
      <c r="K91" s="167"/>
      <c r="L91" s="168"/>
      <c r="N91" s="45" t="e">
        <f t="shared" si="7"/>
        <v>#REF!</v>
      </c>
      <c r="O91" s="45" t="e">
        <f>VLOOKUP(C91,#REF!,4,FALSE)</f>
        <v>#REF!</v>
      </c>
      <c r="P91" s="45">
        <f t="shared" si="8"/>
        <v>0</v>
      </c>
    </row>
    <row r="92" spans="2:16" s="45" customFormat="1" ht="12.75" hidden="1" customHeight="1" x14ac:dyDescent="0.25">
      <c r="B92" s="45" t="e">
        <f t="shared" si="6"/>
        <v>#REF!</v>
      </c>
      <c r="C92" s="208" t="e">
        <f>'TANK HARDWARE'!M336</f>
        <v>#REF!</v>
      </c>
      <c r="D92" s="165"/>
      <c r="E92" s="164"/>
      <c r="F92" s="209" t="e">
        <f>'TANK HARDWARE'!#REF!+P92</f>
        <v>#REF!</v>
      </c>
      <c r="G92" s="167"/>
      <c r="H92" s="167"/>
      <c r="I92" s="167"/>
      <c r="J92" s="167"/>
      <c r="K92" s="167"/>
      <c r="L92" s="168"/>
      <c r="N92" s="45" t="e">
        <f t="shared" si="7"/>
        <v>#REF!</v>
      </c>
      <c r="O92" s="45" t="e">
        <f>VLOOKUP(C92,#REF!,4,FALSE)</f>
        <v>#REF!</v>
      </c>
      <c r="P92" s="45">
        <f t="shared" si="8"/>
        <v>0</v>
      </c>
    </row>
    <row r="93" spans="2:16" s="45" customFormat="1" ht="12.75" hidden="1" customHeight="1" x14ac:dyDescent="0.25">
      <c r="B93" s="45" t="e">
        <f t="shared" si="6"/>
        <v>#REF!</v>
      </c>
      <c r="C93" s="208" t="e">
        <f>'TANK HARDWARE'!M337</f>
        <v>#REF!</v>
      </c>
      <c r="D93" s="165"/>
      <c r="E93" s="164"/>
      <c r="F93" s="209" t="e">
        <f>'TANK HARDWARE'!#REF!+P93</f>
        <v>#REF!</v>
      </c>
      <c r="G93" s="167"/>
      <c r="H93" s="167"/>
      <c r="I93" s="167"/>
      <c r="J93" s="167"/>
      <c r="K93" s="167"/>
      <c r="L93" s="168"/>
      <c r="N93" s="45" t="e">
        <f t="shared" si="7"/>
        <v>#REF!</v>
      </c>
      <c r="O93" s="45" t="e">
        <f>VLOOKUP(C93,#REF!,4,FALSE)</f>
        <v>#REF!</v>
      </c>
      <c r="P93" s="45">
        <f t="shared" si="8"/>
        <v>0</v>
      </c>
    </row>
    <row r="94" spans="2:16" s="45" customFormat="1" ht="12.75" hidden="1" customHeight="1" x14ac:dyDescent="0.25">
      <c r="B94" s="45" t="e">
        <f t="shared" si="6"/>
        <v>#REF!</v>
      </c>
      <c r="C94" s="208" t="e">
        <f>'TANK HARDWARE'!M338</f>
        <v>#REF!</v>
      </c>
      <c r="D94" s="165"/>
      <c r="E94" s="164"/>
      <c r="F94" s="209" t="e">
        <f>'TANK HARDWARE'!#REF!+P94</f>
        <v>#REF!</v>
      </c>
      <c r="G94" s="167"/>
      <c r="H94" s="167"/>
      <c r="I94" s="167"/>
      <c r="J94" s="167"/>
      <c r="K94" s="167"/>
      <c r="L94" s="168"/>
      <c r="N94" s="45" t="e">
        <f t="shared" si="7"/>
        <v>#REF!</v>
      </c>
      <c r="O94" s="45" t="e">
        <f>VLOOKUP(C94,#REF!,4,FALSE)</f>
        <v>#REF!</v>
      </c>
      <c r="P94" s="45">
        <f t="shared" si="8"/>
        <v>0</v>
      </c>
    </row>
    <row r="95" spans="2:16" s="45" customFormat="1" ht="12.75" hidden="1" customHeight="1" x14ac:dyDescent="0.25">
      <c r="B95" s="45" t="e">
        <f t="shared" si="6"/>
        <v>#REF!</v>
      </c>
      <c r="C95" s="208" t="e">
        <f>'TANK HARDWARE'!M339</f>
        <v>#REF!</v>
      </c>
      <c r="D95" s="165"/>
      <c r="E95" s="164"/>
      <c r="F95" s="209" t="e">
        <f>'TANK HARDWARE'!#REF!+P95</f>
        <v>#REF!</v>
      </c>
      <c r="G95" s="167"/>
      <c r="H95" s="167"/>
      <c r="I95" s="167"/>
      <c r="J95" s="167"/>
      <c r="K95" s="167"/>
      <c r="L95" s="168"/>
      <c r="N95" s="45" t="e">
        <f t="shared" si="7"/>
        <v>#REF!</v>
      </c>
      <c r="O95" s="45" t="e">
        <f>VLOOKUP(C95,#REF!,4,FALSE)</f>
        <v>#REF!</v>
      </c>
      <c r="P95" s="45">
        <f t="shared" si="8"/>
        <v>0</v>
      </c>
    </row>
    <row r="96" spans="2:16" s="45" customFormat="1" ht="12.75" hidden="1" customHeight="1" x14ac:dyDescent="0.25">
      <c r="B96" s="45" t="e">
        <f t="shared" si="6"/>
        <v>#REF!</v>
      </c>
      <c r="C96" s="208" t="e">
        <f>'TANK HARDWARE'!M348</f>
        <v>#REF!</v>
      </c>
      <c r="D96" s="165"/>
      <c r="E96" s="164"/>
      <c r="F96" s="209" t="e">
        <f>'TANK HARDWARE'!#REF!+P96</f>
        <v>#REF!</v>
      </c>
      <c r="G96" s="167"/>
      <c r="H96" s="167"/>
      <c r="I96" s="167"/>
      <c r="J96" s="167"/>
      <c r="K96" s="167"/>
      <c r="L96" s="168"/>
      <c r="N96" s="45" t="e">
        <f t="shared" si="7"/>
        <v>#REF!</v>
      </c>
      <c r="O96" s="45" t="e">
        <f>VLOOKUP(C96,#REF!,4,FALSE)</f>
        <v>#REF!</v>
      </c>
      <c r="P96" s="45">
        <f t="shared" si="8"/>
        <v>0</v>
      </c>
    </row>
    <row r="97" spans="2:16" s="45" customFormat="1" ht="12.75" hidden="1" customHeight="1" x14ac:dyDescent="0.25">
      <c r="B97" s="45" t="e">
        <f t="shared" si="6"/>
        <v>#REF!</v>
      </c>
      <c r="C97" s="208" t="e">
        <f>'TANK HARDWARE'!M349</f>
        <v>#REF!</v>
      </c>
      <c r="D97" s="165"/>
      <c r="E97" s="164"/>
      <c r="F97" s="209" t="e">
        <f>'TANK HARDWARE'!#REF!+P97</f>
        <v>#REF!</v>
      </c>
      <c r="G97" s="167"/>
      <c r="H97" s="167"/>
      <c r="I97" s="167"/>
      <c r="J97" s="167"/>
      <c r="K97" s="167"/>
      <c r="L97" s="168"/>
      <c r="N97" s="45" t="e">
        <f t="shared" si="7"/>
        <v>#REF!</v>
      </c>
      <c r="O97" s="45" t="e">
        <f>VLOOKUP(C97,#REF!,4,FALSE)</f>
        <v>#REF!</v>
      </c>
      <c r="P97" s="45">
        <f t="shared" si="8"/>
        <v>0</v>
      </c>
    </row>
    <row r="98" spans="2:16" s="45" customFormat="1" ht="12.75" hidden="1" customHeight="1" x14ac:dyDescent="0.25">
      <c r="B98" s="45" t="e">
        <f t="shared" si="6"/>
        <v>#REF!</v>
      </c>
      <c r="C98" s="208" t="e">
        <f>'TANK HARDWARE'!M350</f>
        <v>#REF!</v>
      </c>
      <c r="D98" s="165"/>
      <c r="E98" s="164"/>
      <c r="F98" s="209" t="e">
        <f>'TANK HARDWARE'!#REF!+P98</f>
        <v>#REF!</v>
      </c>
      <c r="G98" s="167"/>
      <c r="H98" s="167"/>
      <c r="I98" s="167"/>
      <c r="J98" s="167"/>
      <c r="K98" s="167"/>
      <c r="L98" s="168"/>
      <c r="N98" s="45" t="e">
        <f t="shared" si="7"/>
        <v>#REF!</v>
      </c>
      <c r="O98" s="45" t="e">
        <f>VLOOKUP(C98,#REF!,4,FALSE)</f>
        <v>#REF!</v>
      </c>
      <c r="P98" s="45">
        <f t="shared" si="8"/>
        <v>0</v>
      </c>
    </row>
    <row r="99" spans="2:16" s="45" customFormat="1" ht="12.75" hidden="1" customHeight="1" x14ac:dyDescent="0.25">
      <c r="B99" s="45" t="e">
        <f t="shared" si="6"/>
        <v>#REF!</v>
      </c>
      <c r="C99" s="208" t="e">
        <f>'TANK HARDWARE'!M351</f>
        <v>#REF!</v>
      </c>
      <c r="D99" s="165"/>
      <c r="E99" s="164"/>
      <c r="F99" s="209" t="e">
        <f>'TANK HARDWARE'!#REF!+P99</f>
        <v>#REF!</v>
      </c>
      <c r="G99" s="167"/>
      <c r="H99" s="167"/>
      <c r="I99" s="167"/>
      <c r="J99" s="167"/>
      <c r="K99" s="167"/>
      <c r="L99" s="168"/>
      <c r="N99" s="45" t="e">
        <f t="shared" si="7"/>
        <v>#REF!</v>
      </c>
      <c r="O99" s="45" t="e">
        <f>VLOOKUP(C99,#REF!,4,FALSE)</f>
        <v>#REF!</v>
      </c>
      <c r="P99" s="45">
        <f t="shared" si="8"/>
        <v>0</v>
      </c>
    </row>
    <row r="100" spans="2:16" s="45" customFormat="1" ht="12.95" hidden="1" customHeight="1" x14ac:dyDescent="0.25">
      <c r="B100" s="45" t="e">
        <f t="shared" si="6"/>
        <v>#REF!</v>
      </c>
      <c r="C100" s="208" t="e">
        <f>'TANK HARDWARE'!M352</f>
        <v>#REF!</v>
      </c>
      <c r="D100" s="165"/>
      <c r="E100" s="164"/>
      <c r="F100" s="209" t="e">
        <f>'TANK HARDWARE'!#REF!+P100</f>
        <v>#REF!</v>
      </c>
      <c r="G100" s="167"/>
      <c r="H100" s="167"/>
      <c r="I100" s="167"/>
      <c r="J100" s="167"/>
      <c r="K100" s="167"/>
      <c r="L100" s="168"/>
      <c r="N100" s="45" t="e">
        <f t="shared" si="7"/>
        <v>#REF!</v>
      </c>
      <c r="O100" s="45" t="e">
        <f>VLOOKUP(C100,#REF!,4,FALSE)</f>
        <v>#REF!</v>
      </c>
      <c r="P100" s="45">
        <f t="shared" si="8"/>
        <v>0</v>
      </c>
    </row>
    <row r="101" spans="2:16" s="45" customFormat="1" ht="12.75" hidden="1" customHeight="1" x14ac:dyDescent="0.25">
      <c r="B101" s="45" t="e">
        <f t="shared" si="6"/>
        <v>#REF!</v>
      </c>
      <c r="C101" s="208" t="e">
        <f>'TANK HARDWARE'!M353</f>
        <v>#REF!</v>
      </c>
      <c r="D101" s="165"/>
      <c r="E101" s="164"/>
      <c r="F101" s="209" t="e">
        <f>'TANK HARDWARE'!#REF!+P101</f>
        <v>#REF!</v>
      </c>
      <c r="G101" s="167"/>
      <c r="H101" s="167"/>
      <c r="I101" s="167"/>
      <c r="J101" s="167"/>
      <c r="K101" s="167"/>
      <c r="L101" s="168"/>
      <c r="N101" s="45" t="e">
        <f t="shared" si="7"/>
        <v>#REF!</v>
      </c>
      <c r="O101" s="45" t="e">
        <f>VLOOKUP(C101,#REF!,4,FALSE)</f>
        <v>#REF!</v>
      </c>
      <c r="P101" s="45">
        <f t="shared" si="8"/>
        <v>0</v>
      </c>
    </row>
    <row r="102" spans="2:16" s="45" customFormat="1" ht="12.75" hidden="1" customHeight="1" x14ac:dyDescent="0.25">
      <c r="B102" s="45" t="e">
        <f t="shared" si="6"/>
        <v>#REF!</v>
      </c>
      <c r="C102" s="208" t="e">
        <f>'TANK HARDWARE'!M354</f>
        <v>#REF!</v>
      </c>
      <c r="D102" s="165"/>
      <c r="E102" s="164"/>
      <c r="F102" s="209" t="e">
        <f>'TANK HARDWARE'!#REF!+P102</f>
        <v>#REF!</v>
      </c>
      <c r="G102" s="167"/>
      <c r="H102" s="167"/>
      <c r="I102" s="167"/>
      <c r="J102" s="167"/>
      <c r="K102" s="167"/>
      <c r="L102" s="168"/>
      <c r="N102" s="45" t="e">
        <f t="shared" si="7"/>
        <v>#REF!</v>
      </c>
      <c r="O102" s="45" t="e">
        <f>VLOOKUP(C102,#REF!,4,FALSE)</f>
        <v>#REF!</v>
      </c>
      <c r="P102" s="45">
        <f t="shared" si="8"/>
        <v>0</v>
      </c>
    </row>
    <row r="103" spans="2:16" s="45" customFormat="1" ht="12.75" hidden="1" customHeight="1" x14ac:dyDescent="0.25">
      <c r="B103" s="45" t="e">
        <f t="shared" si="6"/>
        <v>#REF!</v>
      </c>
      <c r="C103" s="208" t="e">
        <f>'TANK HARDWARE'!M355</f>
        <v>#REF!</v>
      </c>
      <c r="D103" s="165"/>
      <c r="E103" s="164"/>
      <c r="F103" s="209" t="e">
        <f>'TANK HARDWARE'!#REF!+P103</f>
        <v>#REF!</v>
      </c>
      <c r="G103" s="167"/>
      <c r="H103" s="167"/>
      <c r="I103" s="167"/>
      <c r="J103" s="167"/>
      <c r="K103" s="167"/>
      <c r="L103" s="168"/>
      <c r="N103" s="45" t="e">
        <f t="shared" si="7"/>
        <v>#REF!</v>
      </c>
      <c r="O103" s="45" t="e">
        <f>VLOOKUP(C103,#REF!,4,FALSE)</f>
        <v>#REF!</v>
      </c>
      <c r="P103" s="45">
        <f t="shared" si="8"/>
        <v>0</v>
      </c>
    </row>
    <row r="104" spans="2:16" s="45" customFormat="1" ht="12.75" hidden="1" customHeight="1" x14ac:dyDescent="0.25">
      <c r="B104" s="45" t="e">
        <f t="shared" si="6"/>
        <v>#REF!</v>
      </c>
      <c r="C104" s="208" t="e">
        <f>'TANK HARDWARE'!M356</f>
        <v>#REF!</v>
      </c>
      <c r="D104" s="165"/>
      <c r="E104" s="164"/>
      <c r="F104" s="209" t="e">
        <f>'TANK HARDWARE'!#REF!+P104</f>
        <v>#REF!</v>
      </c>
      <c r="G104" s="167"/>
      <c r="H104" s="167"/>
      <c r="I104" s="167"/>
      <c r="J104" s="167"/>
      <c r="K104" s="167"/>
      <c r="L104" s="168"/>
      <c r="N104" s="45" t="e">
        <f t="shared" si="7"/>
        <v>#REF!</v>
      </c>
      <c r="O104" s="45" t="e">
        <f>VLOOKUP(C104,#REF!,4,FALSE)</f>
        <v>#REF!</v>
      </c>
      <c r="P104" s="45">
        <f t="shared" si="8"/>
        <v>0</v>
      </c>
    </row>
    <row r="105" spans="2:16" s="45" customFormat="1" ht="12.75" hidden="1" customHeight="1" x14ac:dyDescent="0.25">
      <c r="B105" s="45" t="e">
        <f t="shared" si="6"/>
        <v>#REF!</v>
      </c>
      <c r="C105" s="208" t="e">
        <f>'TANK HARDWARE'!M357</f>
        <v>#REF!</v>
      </c>
      <c r="D105" s="165"/>
      <c r="E105" s="164"/>
      <c r="F105" s="209" t="e">
        <f>'TANK HARDWARE'!#REF!+P105</f>
        <v>#REF!</v>
      </c>
      <c r="G105" s="167"/>
      <c r="H105" s="167"/>
      <c r="I105" s="167"/>
      <c r="J105" s="167"/>
      <c r="K105" s="167"/>
      <c r="L105" s="168"/>
      <c r="N105" s="45" t="e">
        <f t="shared" si="7"/>
        <v>#REF!</v>
      </c>
      <c r="O105" s="45" t="e">
        <f>VLOOKUP(C105,#REF!,4,FALSE)</f>
        <v>#REF!</v>
      </c>
      <c r="P105" s="45">
        <f t="shared" si="8"/>
        <v>0</v>
      </c>
    </row>
    <row r="106" spans="2:16" s="45" customFormat="1" ht="12.95" customHeight="1" x14ac:dyDescent="0.25">
      <c r="B106" s="45" t="e">
        <f t="shared" si="6"/>
        <v>#REF!</v>
      </c>
      <c r="C106" s="208" t="e">
        <f>'TANK HARDWARE'!M358</f>
        <v>#REF!</v>
      </c>
      <c r="D106" s="165"/>
      <c r="E106" s="164"/>
      <c r="F106" s="209" t="e">
        <f>'TANK HARDWARE'!#REF!+P106</f>
        <v>#REF!</v>
      </c>
      <c r="G106" s="167"/>
      <c r="H106" s="167"/>
      <c r="I106" s="167"/>
      <c r="J106" s="167"/>
      <c r="K106" s="167"/>
      <c r="L106" s="168"/>
      <c r="N106" s="45" t="e">
        <f t="shared" si="7"/>
        <v>#REF!</v>
      </c>
      <c r="O106" s="45" t="e">
        <f>VLOOKUP(C106,#REF!,4,FALSE)</f>
        <v>#REF!</v>
      </c>
      <c r="P106" s="45">
        <f t="shared" si="8"/>
        <v>0</v>
      </c>
    </row>
    <row r="107" spans="2:16" s="45" customFormat="1" ht="12.75" hidden="1" customHeight="1" x14ac:dyDescent="0.25">
      <c r="B107" s="45" t="e">
        <f t="shared" si="6"/>
        <v>#REF!</v>
      </c>
      <c r="C107" s="208" t="e">
        <f>'TANK HARDWARE'!M359</f>
        <v>#REF!</v>
      </c>
      <c r="D107" s="165"/>
      <c r="E107" s="164"/>
      <c r="F107" s="209" t="e">
        <f>'TANK HARDWARE'!#REF!+P107</f>
        <v>#REF!</v>
      </c>
      <c r="G107" s="167"/>
      <c r="H107" s="167"/>
      <c r="I107" s="167"/>
      <c r="J107" s="167"/>
      <c r="K107" s="167"/>
      <c r="L107" s="168"/>
      <c r="N107" s="45" t="e">
        <f t="shared" si="7"/>
        <v>#REF!</v>
      </c>
      <c r="O107" s="45" t="e">
        <f>VLOOKUP(C107,#REF!,4,FALSE)</f>
        <v>#REF!</v>
      </c>
      <c r="P107" s="45">
        <f t="shared" si="8"/>
        <v>0</v>
      </c>
    </row>
    <row r="108" spans="2:16" s="45" customFormat="1" ht="12.75" hidden="1" customHeight="1" x14ac:dyDescent="0.25">
      <c r="B108" s="45" t="e">
        <f t="shared" si="6"/>
        <v>#REF!</v>
      </c>
      <c r="C108" s="208" t="e">
        <f>'TANK HARDWARE'!M360</f>
        <v>#REF!</v>
      </c>
      <c r="D108" s="165"/>
      <c r="E108" s="164"/>
      <c r="F108" s="209" t="e">
        <f>'TANK HARDWARE'!#REF!+P108</f>
        <v>#REF!</v>
      </c>
      <c r="G108" s="167"/>
      <c r="H108" s="167"/>
      <c r="I108" s="167"/>
      <c r="J108" s="167"/>
      <c r="K108" s="167"/>
      <c r="L108" s="168"/>
      <c r="N108" s="45" t="e">
        <f t="shared" si="7"/>
        <v>#REF!</v>
      </c>
      <c r="O108" s="45" t="e">
        <f>VLOOKUP(C108,#REF!,4,FALSE)</f>
        <v>#REF!</v>
      </c>
      <c r="P108" s="45">
        <f t="shared" si="8"/>
        <v>0</v>
      </c>
    </row>
    <row r="109" spans="2:16" s="45" customFormat="1" ht="12.75" hidden="1" customHeight="1" x14ac:dyDescent="0.25">
      <c r="B109" s="45" t="e">
        <f t="shared" si="6"/>
        <v>#REF!</v>
      </c>
      <c r="C109" s="208" t="e">
        <f>'TANK HARDWARE'!M361</f>
        <v>#REF!</v>
      </c>
      <c r="D109" s="165"/>
      <c r="E109" s="164"/>
      <c r="F109" s="209" t="e">
        <f>'TANK HARDWARE'!#REF!+P109</f>
        <v>#REF!</v>
      </c>
      <c r="G109" s="167"/>
      <c r="H109" s="167"/>
      <c r="I109" s="167"/>
      <c r="J109" s="167"/>
      <c r="K109" s="167"/>
      <c r="L109" s="168"/>
      <c r="N109" s="45" t="e">
        <f t="shared" si="7"/>
        <v>#REF!</v>
      </c>
      <c r="O109" s="45" t="e">
        <f>VLOOKUP(C109,#REF!,4,FALSE)</f>
        <v>#REF!</v>
      </c>
      <c r="P109" s="45">
        <f t="shared" si="8"/>
        <v>0</v>
      </c>
    </row>
    <row r="110" spans="2:16" s="45" customFormat="1" ht="12.75" hidden="1" customHeight="1" x14ac:dyDescent="0.25">
      <c r="B110" s="45" t="e">
        <f t="shared" si="6"/>
        <v>#REF!</v>
      </c>
      <c r="C110" s="208" t="e">
        <f>'TANK HARDWARE'!M362</f>
        <v>#REF!</v>
      </c>
      <c r="D110" s="165"/>
      <c r="E110" s="164"/>
      <c r="F110" s="209" t="e">
        <f>'TANK HARDWARE'!#REF!+P110</f>
        <v>#REF!</v>
      </c>
      <c r="G110" s="167"/>
      <c r="H110" s="167"/>
      <c r="I110" s="167"/>
      <c r="J110" s="167"/>
      <c r="K110" s="167"/>
      <c r="L110" s="168"/>
      <c r="N110" s="45" t="e">
        <f t="shared" si="7"/>
        <v>#REF!</v>
      </c>
      <c r="O110" s="45" t="e">
        <f>VLOOKUP(C110,#REF!,4,FALSE)</f>
        <v>#REF!</v>
      </c>
      <c r="P110" s="45">
        <f t="shared" si="8"/>
        <v>0</v>
      </c>
    </row>
    <row r="111" spans="2:16" s="45" customFormat="1" ht="12.75" hidden="1" customHeight="1" x14ac:dyDescent="0.25">
      <c r="B111" s="45" t="e">
        <f t="shared" si="6"/>
        <v>#REF!</v>
      </c>
      <c r="C111" s="208" t="e">
        <f>'TANK HARDWARE'!M363</f>
        <v>#REF!</v>
      </c>
      <c r="D111" s="165"/>
      <c r="E111" s="164"/>
      <c r="F111" s="209" t="e">
        <f>'TANK HARDWARE'!#REF!+P111</f>
        <v>#REF!</v>
      </c>
      <c r="G111" s="167"/>
      <c r="H111" s="167"/>
      <c r="I111" s="167"/>
      <c r="J111" s="167"/>
      <c r="K111" s="167"/>
      <c r="L111" s="168"/>
      <c r="N111" s="45" t="e">
        <f t="shared" si="7"/>
        <v>#REF!</v>
      </c>
      <c r="O111" s="45" t="e">
        <f>VLOOKUP(C111,#REF!,4,FALSE)</f>
        <v>#REF!</v>
      </c>
      <c r="P111" s="45">
        <f t="shared" si="8"/>
        <v>0</v>
      </c>
    </row>
    <row r="112" spans="2:16" s="45" customFormat="1" ht="12.75" hidden="1" customHeight="1" x14ac:dyDescent="0.25">
      <c r="B112" s="45" t="e">
        <f t="shared" si="6"/>
        <v>#REF!</v>
      </c>
      <c r="C112" s="208" t="e">
        <f>'TANK HARDWARE'!M364</f>
        <v>#REF!</v>
      </c>
      <c r="D112" s="165"/>
      <c r="E112" s="164"/>
      <c r="F112" s="209" t="e">
        <f>'TANK HARDWARE'!#REF!+P112</f>
        <v>#REF!</v>
      </c>
      <c r="G112" s="167"/>
      <c r="H112" s="167"/>
      <c r="I112" s="167"/>
      <c r="J112" s="167"/>
      <c r="K112" s="167"/>
      <c r="L112" s="168"/>
      <c r="N112" s="45" t="e">
        <f t="shared" si="7"/>
        <v>#REF!</v>
      </c>
      <c r="O112" s="45" t="e">
        <f>VLOOKUP(C112,#REF!,4,FALSE)</f>
        <v>#REF!</v>
      </c>
      <c r="P112" s="45">
        <f t="shared" si="8"/>
        <v>0</v>
      </c>
    </row>
    <row r="113" spans="2:16" s="45" customFormat="1" ht="12.75" hidden="1" customHeight="1" x14ac:dyDescent="0.25">
      <c r="B113" s="45" t="e">
        <f t="shared" si="6"/>
        <v>#REF!</v>
      </c>
      <c r="C113" s="208" t="e">
        <f>'TANK HARDWARE'!M365</f>
        <v>#REF!</v>
      </c>
      <c r="D113" s="165"/>
      <c r="E113" s="164"/>
      <c r="F113" s="209" t="e">
        <f>'TANK HARDWARE'!#REF!+P113</f>
        <v>#REF!</v>
      </c>
      <c r="G113" s="167"/>
      <c r="H113" s="167"/>
      <c r="I113" s="167"/>
      <c r="J113" s="167"/>
      <c r="K113" s="167"/>
      <c r="L113" s="168"/>
      <c r="N113" s="45" t="e">
        <f t="shared" si="7"/>
        <v>#REF!</v>
      </c>
      <c r="O113" s="45" t="e">
        <f>VLOOKUP(C113,#REF!,4,FALSE)</f>
        <v>#REF!</v>
      </c>
      <c r="P113" s="45">
        <f t="shared" si="8"/>
        <v>0</v>
      </c>
    </row>
    <row r="114" spans="2:16" s="45" customFormat="1" ht="12.75" hidden="1" customHeight="1" x14ac:dyDescent="0.25">
      <c r="B114" s="45" t="e">
        <f t="shared" si="6"/>
        <v>#REF!</v>
      </c>
      <c r="C114" s="208" t="e">
        <f>'TANK HARDWARE'!M377</f>
        <v>#REF!</v>
      </c>
      <c r="D114" s="165"/>
      <c r="E114" s="164"/>
      <c r="F114" s="209" t="e">
        <f>'TANK HARDWARE'!#REF!+P114</f>
        <v>#REF!</v>
      </c>
      <c r="G114" s="167"/>
      <c r="H114" s="167"/>
      <c r="I114" s="167"/>
      <c r="J114" s="167"/>
      <c r="K114" s="167"/>
      <c r="L114" s="168"/>
      <c r="N114" s="45" t="e">
        <f t="shared" si="7"/>
        <v>#REF!</v>
      </c>
      <c r="O114" s="45" t="e">
        <f>VLOOKUP(C114,#REF!,4,FALSE)</f>
        <v>#REF!</v>
      </c>
      <c r="P114" s="45">
        <f t="shared" si="8"/>
        <v>0</v>
      </c>
    </row>
    <row r="115" spans="2:16" s="45" customFormat="1" ht="12.75" hidden="1" customHeight="1" x14ac:dyDescent="0.25">
      <c r="B115" s="45" t="e">
        <f t="shared" si="6"/>
        <v>#REF!</v>
      </c>
      <c r="C115" s="208" t="e">
        <f>'TANK HARDWARE'!M378</f>
        <v>#REF!</v>
      </c>
      <c r="D115" s="165"/>
      <c r="E115" s="164"/>
      <c r="F115" s="209" t="e">
        <f>'TANK HARDWARE'!#REF!+P115</f>
        <v>#REF!</v>
      </c>
      <c r="G115" s="167"/>
      <c r="H115" s="167"/>
      <c r="I115" s="167"/>
      <c r="J115" s="167"/>
      <c r="K115" s="167"/>
      <c r="L115" s="168"/>
      <c r="N115" s="45" t="e">
        <f t="shared" si="7"/>
        <v>#REF!</v>
      </c>
      <c r="O115" s="45" t="e">
        <f>VLOOKUP(C115,#REF!,4,FALSE)</f>
        <v>#REF!</v>
      </c>
      <c r="P115" s="45">
        <f t="shared" si="8"/>
        <v>0</v>
      </c>
    </row>
    <row r="116" spans="2:16" s="45" customFormat="1" ht="12.75" hidden="1" customHeight="1" x14ac:dyDescent="0.25">
      <c r="B116" s="45" t="e">
        <f t="shared" si="6"/>
        <v>#REF!</v>
      </c>
      <c r="C116" s="208" t="e">
        <f>'TANK HARDWARE'!M379</f>
        <v>#REF!</v>
      </c>
      <c r="D116" s="165"/>
      <c r="E116" s="164"/>
      <c r="F116" s="209" t="e">
        <f>'TANK HARDWARE'!#REF!+P116</f>
        <v>#REF!</v>
      </c>
      <c r="G116" s="167"/>
      <c r="H116" s="167"/>
      <c r="I116" s="167"/>
      <c r="J116" s="167"/>
      <c r="K116" s="167"/>
      <c r="L116" s="168"/>
      <c r="N116" s="45" t="e">
        <f t="shared" si="7"/>
        <v>#REF!</v>
      </c>
      <c r="O116" s="45" t="e">
        <f>VLOOKUP(C116,#REF!,4,FALSE)</f>
        <v>#REF!</v>
      </c>
      <c r="P116" s="45">
        <f t="shared" si="8"/>
        <v>0</v>
      </c>
    </row>
    <row r="117" spans="2:16" s="45" customFormat="1" ht="12.75" hidden="1" customHeight="1" x14ac:dyDescent="0.25">
      <c r="B117" s="45" t="e">
        <f t="shared" si="6"/>
        <v>#REF!</v>
      </c>
      <c r="C117" s="208" t="e">
        <f>'TANK HARDWARE'!M380</f>
        <v>#REF!</v>
      </c>
      <c r="D117" s="165"/>
      <c r="E117" s="164"/>
      <c r="F117" s="209" t="e">
        <f>'TANK HARDWARE'!#REF!+P117</f>
        <v>#REF!</v>
      </c>
      <c r="G117" s="167"/>
      <c r="H117" s="167"/>
      <c r="I117" s="167"/>
      <c r="J117" s="167"/>
      <c r="K117" s="167"/>
      <c r="L117" s="168"/>
      <c r="N117" s="45" t="e">
        <f t="shared" si="7"/>
        <v>#REF!</v>
      </c>
      <c r="O117" s="45" t="e">
        <f>VLOOKUP(C117,#REF!,4,FALSE)</f>
        <v>#REF!</v>
      </c>
      <c r="P117" s="45">
        <f t="shared" si="8"/>
        <v>0</v>
      </c>
    </row>
    <row r="118" spans="2:16" s="45" customFormat="1" ht="12.75" hidden="1" customHeight="1" x14ac:dyDescent="0.25">
      <c r="B118" s="45" t="e">
        <f t="shared" si="6"/>
        <v>#REF!</v>
      </c>
      <c r="C118" s="208" t="e">
        <f>'TANK HARDWARE'!M381</f>
        <v>#REF!</v>
      </c>
      <c r="D118" s="165"/>
      <c r="E118" s="164"/>
      <c r="F118" s="209" t="e">
        <f>'TANK HARDWARE'!#REF!+P118</f>
        <v>#REF!</v>
      </c>
      <c r="G118" s="167"/>
      <c r="H118" s="167"/>
      <c r="I118" s="167"/>
      <c r="J118" s="167"/>
      <c r="K118" s="167"/>
      <c r="L118" s="168"/>
      <c r="N118" s="45" t="e">
        <f t="shared" si="7"/>
        <v>#REF!</v>
      </c>
      <c r="O118" s="45" t="e">
        <f>VLOOKUP(C118,#REF!,4,FALSE)</f>
        <v>#REF!</v>
      </c>
      <c r="P118" s="45">
        <f t="shared" si="8"/>
        <v>0</v>
      </c>
    </row>
    <row r="119" spans="2:16" s="45" customFormat="1" ht="12.75" hidden="1" customHeight="1" x14ac:dyDescent="0.25">
      <c r="B119" s="45" t="e">
        <f t="shared" si="6"/>
        <v>#REF!</v>
      </c>
      <c r="C119" s="208" t="e">
        <f>'TANK HARDWARE'!M382</f>
        <v>#REF!</v>
      </c>
      <c r="D119" s="165"/>
      <c r="E119" s="164"/>
      <c r="F119" s="209" t="e">
        <f>'TANK HARDWARE'!#REF!+P119</f>
        <v>#REF!</v>
      </c>
      <c r="G119" s="167"/>
      <c r="H119" s="167"/>
      <c r="I119" s="167"/>
      <c r="J119" s="167"/>
      <c r="K119" s="167"/>
      <c r="L119" s="168"/>
      <c r="N119" s="45" t="e">
        <f t="shared" si="7"/>
        <v>#REF!</v>
      </c>
      <c r="O119" s="45" t="e">
        <f>VLOOKUP(C119,#REF!,4,FALSE)</f>
        <v>#REF!</v>
      </c>
      <c r="P119" s="45">
        <f t="shared" si="8"/>
        <v>0</v>
      </c>
    </row>
    <row r="120" spans="2:16" s="45" customFormat="1" ht="12.75" hidden="1" customHeight="1" x14ac:dyDescent="0.25">
      <c r="B120" s="45" t="e">
        <f t="shared" si="6"/>
        <v>#REF!</v>
      </c>
      <c r="C120" s="208" t="e">
        <f>'TANK HARDWARE'!M383</f>
        <v>#REF!</v>
      </c>
      <c r="D120" s="165"/>
      <c r="E120" s="164"/>
      <c r="F120" s="209" t="e">
        <f>'TANK HARDWARE'!#REF!+P120</f>
        <v>#REF!</v>
      </c>
      <c r="G120" s="167"/>
      <c r="H120" s="167"/>
      <c r="I120" s="167"/>
      <c r="J120" s="167"/>
      <c r="K120" s="167"/>
      <c r="L120" s="168"/>
      <c r="N120" s="45" t="e">
        <f t="shared" si="7"/>
        <v>#REF!</v>
      </c>
      <c r="O120" s="45" t="e">
        <f>VLOOKUP(C120,#REF!,4,FALSE)</f>
        <v>#REF!</v>
      </c>
      <c r="P120" s="45">
        <f t="shared" si="8"/>
        <v>0</v>
      </c>
    </row>
    <row r="121" spans="2:16" s="45" customFormat="1" ht="12.75" hidden="1" customHeight="1" x14ac:dyDescent="0.25">
      <c r="B121" s="45" t="e">
        <f t="shared" si="6"/>
        <v>#REF!</v>
      </c>
      <c r="C121" s="208" t="e">
        <f>'TANK HARDWARE'!M384</f>
        <v>#REF!</v>
      </c>
      <c r="D121" s="165"/>
      <c r="E121" s="164"/>
      <c r="F121" s="209" t="e">
        <f>'TANK HARDWARE'!#REF!+P121</f>
        <v>#REF!</v>
      </c>
      <c r="G121" s="167"/>
      <c r="H121" s="167"/>
      <c r="I121" s="167"/>
      <c r="J121" s="167"/>
      <c r="K121" s="167"/>
      <c r="L121" s="168"/>
      <c r="N121" s="45" t="e">
        <f t="shared" ref="N121:N157" si="9">F121</f>
        <v>#REF!</v>
      </c>
      <c r="O121" s="45" t="e">
        <f>VLOOKUP(C121,#REF!,4,FALSE)</f>
        <v>#REF!</v>
      </c>
      <c r="P121" s="45">
        <f t="shared" ref="P121:P152" si="10">IFERROR(O121,0)</f>
        <v>0</v>
      </c>
    </row>
    <row r="122" spans="2:16" s="45" customFormat="1" ht="12.75" hidden="1" customHeight="1" x14ac:dyDescent="0.25">
      <c r="B122" s="45" t="e">
        <f t="shared" si="6"/>
        <v>#REF!</v>
      </c>
      <c r="C122" s="208" t="e">
        <f>'TANK HARDWARE'!M385</f>
        <v>#REF!</v>
      </c>
      <c r="D122" s="165"/>
      <c r="E122" s="164"/>
      <c r="F122" s="209" t="e">
        <f>'TANK HARDWARE'!#REF!+P122</f>
        <v>#REF!</v>
      </c>
      <c r="G122" s="167"/>
      <c r="H122" s="167"/>
      <c r="I122" s="167"/>
      <c r="J122" s="167"/>
      <c r="K122" s="167"/>
      <c r="L122" s="168"/>
      <c r="N122" s="45" t="e">
        <f t="shared" si="9"/>
        <v>#REF!</v>
      </c>
      <c r="O122" s="45" t="e">
        <f>VLOOKUP(C122,#REF!,4,FALSE)</f>
        <v>#REF!</v>
      </c>
      <c r="P122" s="45">
        <f t="shared" si="10"/>
        <v>0</v>
      </c>
    </row>
    <row r="123" spans="2:16" s="45" customFormat="1" ht="12.75" hidden="1" customHeight="1" x14ac:dyDescent="0.25">
      <c r="B123" s="45" t="e">
        <f t="shared" si="6"/>
        <v>#REF!</v>
      </c>
      <c r="C123" s="208" t="e">
        <f>'TANK HARDWARE'!M386</f>
        <v>#REF!</v>
      </c>
      <c r="D123" s="165"/>
      <c r="E123" s="164"/>
      <c r="F123" s="209" t="e">
        <f>'TANK HARDWARE'!#REF!+P123</f>
        <v>#REF!</v>
      </c>
      <c r="G123" s="167"/>
      <c r="H123" s="167"/>
      <c r="I123" s="167"/>
      <c r="J123" s="167"/>
      <c r="K123" s="167"/>
      <c r="L123" s="168"/>
      <c r="N123" s="45" t="e">
        <f t="shared" si="9"/>
        <v>#REF!</v>
      </c>
      <c r="O123" s="45" t="e">
        <f>VLOOKUP(C123,#REF!,4,FALSE)</f>
        <v>#REF!</v>
      </c>
      <c r="P123" s="45">
        <f t="shared" si="10"/>
        <v>0</v>
      </c>
    </row>
    <row r="124" spans="2:16" s="45" customFormat="1" ht="12.95" hidden="1" customHeight="1" x14ac:dyDescent="0.25">
      <c r="B124" s="45" t="e">
        <f t="shared" si="6"/>
        <v>#REF!</v>
      </c>
      <c r="C124" s="208" t="e">
        <f>'TANK HARDWARE'!M387</f>
        <v>#REF!</v>
      </c>
      <c r="D124" s="165"/>
      <c r="E124" s="164"/>
      <c r="F124" s="209" t="e">
        <f>'TANK HARDWARE'!#REF!+P124</f>
        <v>#REF!</v>
      </c>
      <c r="G124" s="167"/>
      <c r="H124" s="167"/>
      <c r="I124" s="167"/>
      <c r="J124" s="167"/>
      <c r="K124" s="167"/>
      <c r="L124" s="168"/>
      <c r="N124" s="45" t="e">
        <f t="shared" si="9"/>
        <v>#REF!</v>
      </c>
      <c r="O124" s="45" t="e">
        <f>VLOOKUP(C124,#REF!,4,FALSE)</f>
        <v>#REF!</v>
      </c>
      <c r="P124" s="45">
        <f t="shared" si="10"/>
        <v>0</v>
      </c>
    </row>
    <row r="125" spans="2:16" s="45" customFormat="1" ht="12.75" hidden="1" customHeight="1" x14ac:dyDescent="0.25">
      <c r="B125" s="45" t="e">
        <f t="shared" si="6"/>
        <v>#REF!</v>
      </c>
      <c r="C125" s="208" t="e">
        <f>'TANK HARDWARE'!M388</f>
        <v>#REF!</v>
      </c>
      <c r="D125" s="165"/>
      <c r="E125" s="164"/>
      <c r="F125" s="209" t="e">
        <f>'TANK HARDWARE'!#REF!+P125</f>
        <v>#REF!</v>
      </c>
      <c r="G125" s="167"/>
      <c r="H125" s="167"/>
      <c r="I125" s="167"/>
      <c r="J125" s="167"/>
      <c r="K125" s="167"/>
      <c r="L125" s="168"/>
      <c r="N125" s="45" t="e">
        <f t="shared" si="9"/>
        <v>#REF!</v>
      </c>
      <c r="O125" s="45" t="e">
        <f>VLOOKUP(C125,#REF!,4,FALSE)</f>
        <v>#REF!</v>
      </c>
      <c r="P125" s="45">
        <f t="shared" si="10"/>
        <v>0</v>
      </c>
    </row>
    <row r="126" spans="2:16" s="45" customFormat="1" ht="12.75" hidden="1" customHeight="1" x14ac:dyDescent="0.25">
      <c r="B126" s="45" t="e">
        <f t="shared" si="6"/>
        <v>#REF!</v>
      </c>
      <c r="C126" s="208" t="e">
        <f>'TANK HARDWARE'!M389</f>
        <v>#REF!</v>
      </c>
      <c r="D126" s="165"/>
      <c r="E126" s="164"/>
      <c r="F126" s="209" t="e">
        <f>'TANK HARDWARE'!#REF!+P126</f>
        <v>#REF!</v>
      </c>
      <c r="G126" s="167"/>
      <c r="H126" s="167"/>
      <c r="I126" s="167"/>
      <c r="J126" s="167"/>
      <c r="K126" s="167"/>
      <c r="L126" s="168"/>
      <c r="N126" s="45" t="e">
        <f t="shared" si="9"/>
        <v>#REF!</v>
      </c>
      <c r="O126" s="45" t="e">
        <f>VLOOKUP(C126,#REF!,4,FALSE)</f>
        <v>#REF!</v>
      </c>
      <c r="P126" s="45">
        <f t="shared" si="10"/>
        <v>0</v>
      </c>
    </row>
    <row r="127" spans="2:16" s="45" customFormat="1" ht="12.75" hidden="1" customHeight="1" x14ac:dyDescent="0.25">
      <c r="B127" s="45" t="e">
        <f t="shared" si="6"/>
        <v>#REF!</v>
      </c>
      <c r="C127" s="208" t="e">
        <f>'TANK HARDWARE'!M390</f>
        <v>#REF!</v>
      </c>
      <c r="D127" s="165"/>
      <c r="E127" s="164"/>
      <c r="F127" s="209" t="e">
        <f>'TANK HARDWARE'!#REF!+P127</f>
        <v>#REF!</v>
      </c>
      <c r="G127" s="167"/>
      <c r="H127" s="167"/>
      <c r="I127" s="167"/>
      <c r="J127" s="167"/>
      <c r="K127" s="167"/>
      <c r="L127" s="168"/>
      <c r="N127" s="45" t="e">
        <f t="shared" si="9"/>
        <v>#REF!</v>
      </c>
      <c r="O127" s="45" t="e">
        <f>VLOOKUP(C127,#REF!,4,FALSE)</f>
        <v>#REF!</v>
      </c>
      <c r="P127" s="45">
        <f t="shared" si="10"/>
        <v>0</v>
      </c>
    </row>
    <row r="128" spans="2:16" s="45" customFormat="1" ht="12.75" hidden="1" customHeight="1" x14ac:dyDescent="0.25">
      <c r="B128" s="45" t="e">
        <f t="shared" si="6"/>
        <v>#REF!</v>
      </c>
      <c r="C128" s="208" t="e">
        <f>'TANK HARDWARE'!M391</f>
        <v>#REF!</v>
      </c>
      <c r="D128" s="165"/>
      <c r="E128" s="164"/>
      <c r="F128" s="209" t="e">
        <f>'TANK HARDWARE'!#REF!+P128</f>
        <v>#REF!</v>
      </c>
      <c r="G128" s="167"/>
      <c r="H128" s="167"/>
      <c r="I128" s="167"/>
      <c r="J128" s="167"/>
      <c r="K128" s="167"/>
      <c r="L128" s="168"/>
      <c r="N128" s="45" t="e">
        <f t="shared" si="9"/>
        <v>#REF!</v>
      </c>
      <c r="O128" s="45" t="e">
        <f>VLOOKUP(C128,#REF!,4,FALSE)</f>
        <v>#REF!</v>
      </c>
      <c r="P128" s="45">
        <f t="shared" si="10"/>
        <v>0</v>
      </c>
    </row>
    <row r="129" spans="2:16" s="45" customFormat="1" ht="12.75" customHeight="1" x14ac:dyDescent="0.25">
      <c r="B129" s="45" t="e">
        <f t="shared" si="6"/>
        <v>#REF!</v>
      </c>
      <c r="C129" s="208" t="e">
        <f>'TANK HARDWARE'!M392</f>
        <v>#REF!</v>
      </c>
      <c r="D129" s="165"/>
      <c r="E129" s="164"/>
      <c r="F129" s="209" t="e">
        <f>'TANK HARDWARE'!#REF!+P129</f>
        <v>#REF!</v>
      </c>
      <c r="G129" s="167"/>
      <c r="H129" s="167"/>
      <c r="I129" s="167"/>
      <c r="J129" s="167"/>
      <c r="K129" s="167"/>
      <c r="L129" s="168"/>
      <c r="N129" s="45" t="e">
        <f t="shared" si="9"/>
        <v>#REF!</v>
      </c>
      <c r="O129" s="45" t="e">
        <f>VLOOKUP(C129,#REF!,4,FALSE)</f>
        <v>#REF!</v>
      </c>
      <c r="P129" s="45">
        <f t="shared" si="10"/>
        <v>0</v>
      </c>
    </row>
    <row r="130" spans="2:16" s="45" customFormat="1" ht="12.75" hidden="1" customHeight="1" x14ac:dyDescent="0.25">
      <c r="B130" s="45" t="e">
        <f t="shared" si="6"/>
        <v>#REF!</v>
      </c>
      <c r="C130" s="208" t="e">
        <f>'TANK HARDWARE'!M393</f>
        <v>#REF!</v>
      </c>
      <c r="D130" s="165"/>
      <c r="E130" s="164"/>
      <c r="F130" s="209" t="e">
        <f>'TANK HARDWARE'!#REF!+P130</f>
        <v>#REF!</v>
      </c>
      <c r="G130" s="167"/>
      <c r="H130" s="167"/>
      <c r="I130" s="167"/>
      <c r="J130" s="167"/>
      <c r="K130" s="167"/>
      <c r="L130" s="168"/>
      <c r="N130" s="45" t="e">
        <f t="shared" si="9"/>
        <v>#REF!</v>
      </c>
      <c r="O130" s="45" t="e">
        <f>VLOOKUP(C130,#REF!,4,FALSE)</f>
        <v>#REF!</v>
      </c>
      <c r="P130" s="45">
        <f t="shared" si="10"/>
        <v>0</v>
      </c>
    </row>
    <row r="131" spans="2:16" s="45" customFormat="1" ht="12.75" hidden="1" customHeight="1" x14ac:dyDescent="0.25">
      <c r="B131" s="45" t="e">
        <f t="shared" si="6"/>
        <v>#REF!</v>
      </c>
      <c r="C131" s="208" t="e">
        <f>'TANK HARDWARE'!M394</f>
        <v>#REF!</v>
      </c>
      <c r="D131" s="165"/>
      <c r="E131" s="164"/>
      <c r="F131" s="209" t="e">
        <f>'TANK HARDWARE'!#REF!+P131</f>
        <v>#REF!</v>
      </c>
      <c r="G131" s="167"/>
      <c r="H131" s="167"/>
      <c r="I131" s="167"/>
      <c r="J131" s="167"/>
      <c r="K131" s="167"/>
      <c r="L131" s="168"/>
      <c r="N131" s="45" t="e">
        <f t="shared" si="9"/>
        <v>#REF!</v>
      </c>
      <c r="O131" s="45" t="e">
        <f>VLOOKUP(C131,#REF!,4,FALSE)</f>
        <v>#REF!</v>
      </c>
      <c r="P131" s="45">
        <f t="shared" si="10"/>
        <v>0</v>
      </c>
    </row>
    <row r="132" spans="2:16" s="45" customFormat="1" ht="12.75" hidden="1" customHeight="1" x14ac:dyDescent="0.25">
      <c r="B132" s="45" t="e">
        <f t="shared" si="6"/>
        <v>#REF!</v>
      </c>
      <c r="C132" s="208" t="e">
        <f>'TANK HARDWARE'!M395</f>
        <v>#REF!</v>
      </c>
      <c r="D132" s="165"/>
      <c r="E132" s="164"/>
      <c r="F132" s="209" t="e">
        <f>'TANK HARDWARE'!#REF!+P132</f>
        <v>#REF!</v>
      </c>
      <c r="G132" s="167"/>
      <c r="H132" s="167"/>
      <c r="I132" s="167"/>
      <c r="J132" s="167"/>
      <c r="K132" s="167"/>
      <c r="L132" s="168"/>
      <c r="N132" s="45" t="e">
        <f t="shared" si="9"/>
        <v>#REF!</v>
      </c>
      <c r="O132" s="45" t="e">
        <f>VLOOKUP(C132,#REF!,4,FALSE)</f>
        <v>#REF!</v>
      </c>
      <c r="P132" s="45">
        <f t="shared" si="10"/>
        <v>0</v>
      </c>
    </row>
    <row r="133" spans="2:16" s="45" customFormat="1" ht="12.75" hidden="1" customHeight="1" x14ac:dyDescent="0.25">
      <c r="B133" s="45" t="e">
        <f t="shared" si="6"/>
        <v>#REF!</v>
      </c>
      <c r="C133" s="208" t="e">
        <f>'TANK HARDWARE'!M396</f>
        <v>#REF!</v>
      </c>
      <c r="D133" s="165"/>
      <c r="E133" s="164"/>
      <c r="F133" s="209" t="e">
        <f>'TANK HARDWARE'!#REF!+P133</f>
        <v>#REF!</v>
      </c>
      <c r="G133" s="167"/>
      <c r="H133" s="167"/>
      <c r="I133" s="167"/>
      <c r="J133" s="167"/>
      <c r="K133" s="167"/>
      <c r="L133" s="168"/>
      <c r="N133" s="45" t="e">
        <f t="shared" si="9"/>
        <v>#REF!</v>
      </c>
      <c r="O133" s="45" t="e">
        <f>VLOOKUP(C133,#REF!,4,FALSE)</f>
        <v>#REF!</v>
      </c>
      <c r="P133" s="45">
        <f t="shared" si="10"/>
        <v>0</v>
      </c>
    </row>
    <row r="134" spans="2:16" s="45" customFormat="1" ht="12.75" hidden="1" customHeight="1" x14ac:dyDescent="0.25">
      <c r="B134" s="45" t="e">
        <f t="shared" si="6"/>
        <v>#REF!</v>
      </c>
      <c r="C134" s="208" t="e">
        <f>'TANK HARDWARE'!M397</f>
        <v>#REF!</v>
      </c>
      <c r="D134" s="165"/>
      <c r="E134" s="164"/>
      <c r="F134" s="209" t="e">
        <f>'TANK HARDWARE'!#REF!+P134</f>
        <v>#REF!</v>
      </c>
      <c r="G134" s="167"/>
      <c r="H134" s="167"/>
      <c r="I134" s="167"/>
      <c r="J134" s="167"/>
      <c r="K134" s="167"/>
      <c r="L134" s="168"/>
      <c r="N134" s="45" t="e">
        <f t="shared" si="9"/>
        <v>#REF!</v>
      </c>
      <c r="O134" s="45" t="e">
        <f>VLOOKUP(C134,#REF!,4,FALSE)</f>
        <v>#REF!</v>
      </c>
      <c r="P134" s="45">
        <f t="shared" si="10"/>
        <v>0</v>
      </c>
    </row>
    <row r="135" spans="2:16" s="45" customFormat="1" ht="12.75" hidden="1" customHeight="1" x14ac:dyDescent="0.25">
      <c r="B135" s="45" t="e">
        <f t="shared" si="6"/>
        <v>#REF!</v>
      </c>
      <c r="C135" s="208" t="e">
        <f>'TANK HARDWARE'!M398</f>
        <v>#REF!</v>
      </c>
      <c r="D135" s="165"/>
      <c r="E135" s="164"/>
      <c r="F135" s="209" t="e">
        <f>'TANK HARDWARE'!#REF!+P135</f>
        <v>#REF!</v>
      </c>
      <c r="G135" s="167"/>
      <c r="H135" s="167"/>
      <c r="I135" s="167"/>
      <c r="J135" s="167"/>
      <c r="K135" s="167"/>
      <c r="L135" s="168"/>
      <c r="N135" s="45" t="e">
        <f t="shared" si="9"/>
        <v>#REF!</v>
      </c>
      <c r="O135" s="45" t="e">
        <f>VLOOKUP(C135,#REF!,4,FALSE)</f>
        <v>#REF!</v>
      </c>
      <c r="P135" s="45">
        <f t="shared" si="10"/>
        <v>0</v>
      </c>
    </row>
    <row r="136" spans="2:16" s="45" customFormat="1" ht="12.75" hidden="1" customHeight="1" x14ac:dyDescent="0.25">
      <c r="B136" s="45" t="e">
        <f t="shared" si="6"/>
        <v>#REF!</v>
      </c>
      <c r="C136" s="208" t="e">
        <f>'TANK HARDWARE'!M411</f>
        <v>#REF!</v>
      </c>
      <c r="D136" s="165"/>
      <c r="E136" s="164"/>
      <c r="F136" s="209" t="e">
        <f>'TANK HARDWARE'!#REF!+P136</f>
        <v>#REF!</v>
      </c>
      <c r="G136" s="167"/>
      <c r="H136" s="167"/>
      <c r="I136" s="167"/>
      <c r="J136" s="167"/>
      <c r="K136" s="167"/>
      <c r="L136" s="168"/>
      <c r="N136" s="45" t="e">
        <f t="shared" si="9"/>
        <v>#REF!</v>
      </c>
      <c r="O136" s="45" t="e">
        <f>VLOOKUP(C136,#REF!,4,FALSE)</f>
        <v>#REF!</v>
      </c>
      <c r="P136" s="45">
        <f t="shared" si="10"/>
        <v>0</v>
      </c>
    </row>
    <row r="137" spans="2:16" s="45" customFormat="1" ht="12.75" hidden="1" customHeight="1" x14ac:dyDescent="0.25">
      <c r="B137" s="45" t="e">
        <f t="shared" si="6"/>
        <v>#REF!</v>
      </c>
      <c r="C137" s="208" t="e">
        <f>'TANK HARDWARE'!M412</f>
        <v>#REF!</v>
      </c>
      <c r="D137" s="165"/>
      <c r="E137" s="164"/>
      <c r="F137" s="209" t="e">
        <f>'TANK HARDWARE'!#REF!+P137</f>
        <v>#REF!</v>
      </c>
      <c r="G137" s="167"/>
      <c r="H137" s="167"/>
      <c r="I137" s="167"/>
      <c r="J137" s="167"/>
      <c r="K137" s="167"/>
      <c r="L137" s="168"/>
      <c r="N137" s="45" t="e">
        <f t="shared" si="9"/>
        <v>#REF!</v>
      </c>
      <c r="O137" s="45" t="e">
        <f>VLOOKUP(C137,#REF!,4,FALSE)</f>
        <v>#REF!</v>
      </c>
      <c r="P137" s="45">
        <f t="shared" si="10"/>
        <v>0</v>
      </c>
    </row>
    <row r="138" spans="2:16" s="45" customFormat="1" ht="12.75" hidden="1" customHeight="1" x14ac:dyDescent="0.25">
      <c r="B138" s="45" t="e">
        <f t="shared" si="6"/>
        <v>#REF!</v>
      </c>
      <c r="C138" s="208" t="e">
        <f>'TANK HARDWARE'!M413</f>
        <v>#REF!</v>
      </c>
      <c r="D138" s="165"/>
      <c r="E138" s="164"/>
      <c r="F138" s="209" t="e">
        <f>'TANK HARDWARE'!#REF!+P138</f>
        <v>#REF!</v>
      </c>
      <c r="G138" s="167"/>
      <c r="H138" s="167"/>
      <c r="I138" s="167"/>
      <c r="J138" s="167"/>
      <c r="K138" s="167"/>
      <c r="L138" s="168"/>
      <c r="N138" s="45" t="e">
        <f t="shared" si="9"/>
        <v>#REF!</v>
      </c>
      <c r="O138" s="45" t="e">
        <f>VLOOKUP(C138,#REF!,4,FALSE)</f>
        <v>#REF!</v>
      </c>
      <c r="P138" s="45">
        <f t="shared" si="10"/>
        <v>0</v>
      </c>
    </row>
    <row r="139" spans="2:16" s="45" customFormat="1" ht="12.75" hidden="1" customHeight="1" x14ac:dyDescent="0.25">
      <c r="B139" s="45" t="e">
        <f t="shared" ref="B139:B202" si="11">IF(N139=0,0,1)</f>
        <v>#REF!</v>
      </c>
      <c r="C139" s="208" t="e">
        <f>'TANK HARDWARE'!M414</f>
        <v>#REF!</v>
      </c>
      <c r="D139" s="165"/>
      <c r="E139" s="164"/>
      <c r="F139" s="209" t="e">
        <f>'TANK HARDWARE'!#REF!+P139</f>
        <v>#REF!</v>
      </c>
      <c r="G139" s="167"/>
      <c r="H139" s="167"/>
      <c r="I139" s="167"/>
      <c r="J139" s="167"/>
      <c r="K139" s="167"/>
      <c r="L139" s="168"/>
      <c r="N139" s="45" t="e">
        <f t="shared" si="9"/>
        <v>#REF!</v>
      </c>
      <c r="O139" s="45" t="e">
        <f>VLOOKUP(C139,#REF!,4,FALSE)</f>
        <v>#REF!</v>
      </c>
      <c r="P139" s="45">
        <f t="shared" si="10"/>
        <v>0</v>
      </c>
    </row>
    <row r="140" spans="2:16" s="45" customFormat="1" ht="12.75" hidden="1" customHeight="1" x14ac:dyDescent="0.25">
      <c r="B140" s="45" t="e">
        <f t="shared" si="11"/>
        <v>#REF!</v>
      </c>
      <c r="C140" s="208" t="e">
        <f>'TANK HARDWARE'!M415</f>
        <v>#REF!</v>
      </c>
      <c r="D140" s="165"/>
      <c r="E140" s="164"/>
      <c r="F140" s="209" t="e">
        <f>'TANK HARDWARE'!#REF!+P140</f>
        <v>#REF!</v>
      </c>
      <c r="G140" s="167"/>
      <c r="H140" s="167"/>
      <c r="I140" s="167"/>
      <c r="J140" s="167"/>
      <c r="K140" s="167"/>
      <c r="L140" s="168"/>
      <c r="N140" s="45" t="e">
        <f t="shared" si="9"/>
        <v>#REF!</v>
      </c>
      <c r="O140" s="45" t="e">
        <f>VLOOKUP(C140,#REF!,4,FALSE)</f>
        <v>#REF!</v>
      </c>
      <c r="P140" s="45">
        <f t="shared" si="10"/>
        <v>0</v>
      </c>
    </row>
    <row r="141" spans="2:16" s="45" customFormat="1" ht="12.75" hidden="1" customHeight="1" x14ac:dyDescent="0.25">
      <c r="B141" s="45" t="e">
        <f t="shared" si="11"/>
        <v>#REF!</v>
      </c>
      <c r="C141" s="208" t="e">
        <f>'TANK HARDWARE'!M416</f>
        <v>#REF!</v>
      </c>
      <c r="D141" s="165"/>
      <c r="E141" s="164"/>
      <c r="F141" s="209" t="e">
        <f>'TANK HARDWARE'!#REF!+P141</f>
        <v>#REF!</v>
      </c>
      <c r="G141" s="167"/>
      <c r="H141" s="167"/>
      <c r="I141" s="167"/>
      <c r="J141" s="167"/>
      <c r="K141" s="167"/>
      <c r="L141" s="168"/>
      <c r="N141" s="45" t="e">
        <f t="shared" si="9"/>
        <v>#REF!</v>
      </c>
      <c r="O141" s="45" t="e">
        <f>VLOOKUP(C141,#REF!,4,FALSE)</f>
        <v>#REF!</v>
      </c>
      <c r="P141" s="45">
        <f t="shared" si="10"/>
        <v>0</v>
      </c>
    </row>
    <row r="142" spans="2:16" s="45" customFormat="1" ht="12.75" hidden="1" customHeight="1" x14ac:dyDescent="0.25">
      <c r="B142" s="45" t="e">
        <f t="shared" si="11"/>
        <v>#REF!</v>
      </c>
      <c r="C142" s="208" t="e">
        <f>'TANK HARDWARE'!M417</f>
        <v>#REF!</v>
      </c>
      <c r="D142" s="165"/>
      <c r="E142" s="164"/>
      <c r="F142" s="209" t="e">
        <f>'TANK HARDWARE'!#REF!+P142</f>
        <v>#REF!</v>
      </c>
      <c r="G142" s="167"/>
      <c r="H142" s="167"/>
      <c r="I142" s="167"/>
      <c r="J142" s="167"/>
      <c r="K142" s="167"/>
      <c r="L142" s="168"/>
      <c r="N142" s="45" t="e">
        <f t="shared" si="9"/>
        <v>#REF!</v>
      </c>
      <c r="O142" s="45" t="e">
        <f>VLOOKUP(C142,#REF!,4,FALSE)</f>
        <v>#REF!</v>
      </c>
      <c r="P142" s="45">
        <f t="shared" si="10"/>
        <v>0</v>
      </c>
    </row>
    <row r="143" spans="2:16" s="45" customFormat="1" ht="12.75" hidden="1" customHeight="1" x14ac:dyDescent="0.25">
      <c r="B143" s="45" t="e">
        <f t="shared" si="11"/>
        <v>#REF!</v>
      </c>
      <c r="C143" s="208" t="e">
        <f>'TANK HARDWARE'!M418</f>
        <v>#REF!</v>
      </c>
      <c r="D143" s="165"/>
      <c r="E143" s="164"/>
      <c r="F143" s="209" t="e">
        <f>'TANK HARDWARE'!#REF!+P143</f>
        <v>#REF!</v>
      </c>
      <c r="G143" s="167"/>
      <c r="H143" s="167"/>
      <c r="I143" s="167"/>
      <c r="J143" s="167"/>
      <c r="K143" s="167"/>
      <c r="L143" s="168"/>
      <c r="N143" s="45" t="e">
        <f t="shared" si="9"/>
        <v>#REF!</v>
      </c>
      <c r="O143" s="45" t="e">
        <f>VLOOKUP(C143,#REF!,4,FALSE)</f>
        <v>#REF!</v>
      </c>
      <c r="P143" s="45">
        <f t="shared" si="10"/>
        <v>0</v>
      </c>
    </row>
    <row r="144" spans="2:16" s="45" customFormat="1" ht="12.75" hidden="1" customHeight="1" x14ac:dyDescent="0.25">
      <c r="B144" s="45" t="e">
        <f t="shared" si="11"/>
        <v>#REF!</v>
      </c>
      <c r="C144" s="208" t="e">
        <f>'TANK HARDWARE'!M419</f>
        <v>#REF!</v>
      </c>
      <c r="D144" s="165"/>
      <c r="E144" s="164"/>
      <c r="F144" s="209" t="e">
        <f>'TANK HARDWARE'!#REF!+P144</f>
        <v>#REF!</v>
      </c>
      <c r="G144" s="167"/>
      <c r="H144" s="167"/>
      <c r="I144" s="167"/>
      <c r="J144" s="167"/>
      <c r="K144" s="167"/>
      <c r="L144" s="168"/>
      <c r="N144" s="45" t="e">
        <f t="shared" si="9"/>
        <v>#REF!</v>
      </c>
      <c r="O144" s="45" t="e">
        <f>VLOOKUP(C144,#REF!,4,FALSE)</f>
        <v>#REF!</v>
      </c>
      <c r="P144" s="45">
        <f t="shared" si="10"/>
        <v>0</v>
      </c>
    </row>
    <row r="145" spans="2:16" s="45" customFormat="1" ht="12.75" hidden="1" customHeight="1" x14ac:dyDescent="0.25">
      <c r="B145" s="45" t="e">
        <f t="shared" si="11"/>
        <v>#REF!</v>
      </c>
      <c r="C145" s="208" t="e">
        <f>'TANK HARDWARE'!M420</f>
        <v>#REF!</v>
      </c>
      <c r="D145" s="165"/>
      <c r="E145" s="164"/>
      <c r="F145" s="209" t="e">
        <f>'TANK HARDWARE'!#REF!+P145</f>
        <v>#REF!</v>
      </c>
      <c r="G145" s="167"/>
      <c r="H145" s="167"/>
      <c r="I145" s="167"/>
      <c r="J145" s="167"/>
      <c r="K145" s="167"/>
      <c r="L145" s="168"/>
      <c r="N145" s="45" t="e">
        <f t="shared" si="9"/>
        <v>#REF!</v>
      </c>
      <c r="O145" s="45" t="e">
        <f>VLOOKUP(C145,#REF!,4,FALSE)</f>
        <v>#REF!</v>
      </c>
      <c r="P145" s="45">
        <f t="shared" si="10"/>
        <v>0</v>
      </c>
    </row>
    <row r="146" spans="2:16" s="45" customFormat="1" ht="12.75" hidden="1" customHeight="1" x14ac:dyDescent="0.25">
      <c r="B146" s="45" t="e">
        <f t="shared" si="11"/>
        <v>#REF!</v>
      </c>
      <c r="C146" s="208" t="e">
        <f>'TANK HARDWARE'!M421</f>
        <v>#REF!</v>
      </c>
      <c r="D146" s="165"/>
      <c r="E146" s="164"/>
      <c r="F146" s="209" t="e">
        <f>'TANK HARDWARE'!#REF!+P146</f>
        <v>#REF!</v>
      </c>
      <c r="G146" s="167"/>
      <c r="H146" s="167"/>
      <c r="I146" s="167"/>
      <c r="J146" s="167"/>
      <c r="K146" s="167"/>
      <c r="L146" s="168"/>
      <c r="N146" s="45" t="e">
        <f t="shared" si="9"/>
        <v>#REF!</v>
      </c>
      <c r="O146" s="45" t="e">
        <f>VLOOKUP(C146,#REF!,4,FALSE)</f>
        <v>#REF!</v>
      </c>
      <c r="P146" s="45">
        <f t="shared" si="10"/>
        <v>0</v>
      </c>
    </row>
    <row r="147" spans="2:16" s="45" customFormat="1" ht="12.75" hidden="1" customHeight="1" x14ac:dyDescent="0.25">
      <c r="B147" s="45" t="e">
        <f t="shared" si="11"/>
        <v>#REF!</v>
      </c>
      <c r="C147" s="208" t="e">
        <f>'TANK HARDWARE'!M422</f>
        <v>#REF!</v>
      </c>
      <c r="D147" s="165"/>
      <c r="E147" s="164"/>
      <c r="F147" s="209" t="e">
        <f>'TANK HARDWARE'!#REF!+P147</f>
        <v>#REF!</v>
      </c>
      <c r="G147" s="167"/>
      <c r="H147" s="167"/>
      <c r="I147" s="167"/>
      <c r="J147" s="167"/>
      <c r="K147" s="167"/>
      <c r="L147" s="168"/>
      <c r="N147" s="45" t="e">
        <f t="shared" si="9"/>
        <v>#REF!</v>
      </c>
      <c r="O147" s="45" t="e">
        <f>VLOOKUP(C147,#REF!,4,FALSE)</f>
        <v>#REF!</v>
      </c>
      <c r="P147" s="45">
        <f t="shared" si="10"/>
        <v>0</v>
      </c>
    </row>
    <row r="148" spans="2:16" s="45" customFormat="1" ht="12.75" hidden="1" customHeight="1" x14ac:dyDescent="0.25">
      <c r="B148" s="45" t="e">
        <f t="shared" si="11"/>
        <v>#REF!</v>
      </c>
      <c r="C148" s="208" t="e">
        <f>'TANK HARDWARE'!M423</f>
        <v>#REF!</v>
      </c>
      <c r="D148" s="165"/>
      <c r="E148" s="164"/>
      <c r="F148" s="209" t="e">
        <f>'TANK HARDWARE'!#REF!+P148</f>
        <v>#REF!</v>
      </c>
      <c r="G148" s="167"/>
      <c r="H148" s="167"/>
      <c r="I148" s="167"/>
      <c r="J148" s="167"/>
      <c r="K148" s="167"/>
      <c r="L148" s="168"/>
      <c r="N148" s="45" t="e">
        <f t="shared" si="9"/>
        <v>#REF!</v>
      </c>
      <c r="O148" s="45" t="e">
        <f>VLOOKUP(C148,#REF!,4,FALSE)</f>
        <v>#REF!</v>
      </c>
      <c r="P148" s="45">
        <f t="shared" si="10"/>
        <v>0</v>
      </c>
    </row>
    <row r="149" spans="2:16" s="45" customFormat="1" ht="12.75" hidden="1" customHeight="1" x14ac:dyDescent="0.25">
      <c r="B149" s="45" t="e">
        <f t="shared" si="11"/>
        <v>#REF!</v>
      </c>
      <c r="C149" s="208" t="e">
        <f>'TANK HARDWARE'!M424</f>
        <v>#REF!</v>
      </c>
      <c r="D149" s="165"/>
      <c r="E149" s="164"/>
      <c r="F149" s="209" t="e">
        <f>'TANK HARDWARE'!#REF!+P149</f>
        <v>#REF!</v>
      </c>
      <c r="G149" s="167"/>
      <c r="H149" s="167"/>
      <c r="I149" s="167"/>
      <c r="J149" s="167"/>
      <c r="K149" s="167"/>
      <c r="L149" s="168"/>
      <c r="N149" s="45" t="e">
        <f t="shared" si="9"/>
        <v>#REF!</v>
      </c>
      <c r="O149" s="45" t="e">
        <f>VLOOKUP(C149,#REF!,4,FALSE)</f>
        <v>#REF!</v>
      </c>
      <c r="P149" s="45">
        <f t="shared" si="10"/>
        <v>0</v>
      </c>
    </row>
    <row r="150" spans="2:16" s="45" customFormat="1" ht="12.75" hidden="1" customHeight="1" x14ac:dyDescent="0.25">
      <c r="B150" s="45" t="e">
        <f t="shared" si="11"/>
        <v>#REF!</v>
      </c>
      <c r="C150" s="208" t="e">
        <f>'TANK HARDWARE'!M425</f>
        <v>#REF!</v>
      </c>
      <c r="D150" s="165"/>
      <c r="E150" s="164"/>
      <c r="F150" s="209" t="e">
        <f>'TANK HARDWARE'!#REF!+P150</f>
        <v>#REF!</v>
      </c>
      <c r="G150" s="167"/>
      <c r="H150" s="167"/>
      <c r="I150" s="167"/>
      <c r="J150" s="167"/>
      <c r="K150" s="167"/>
      <c r="L150" s="168"/>
      <c r="N150" s="45" t="e">
        <f t="shared" si="9"/>
        <v>#REF!</v>
      </c>
      <c r="O150" s="45" t="e">
        <f>VLOOKUP(C150,#REF!,4,FALSE)</f>
        <v>#REF!</v>
      </c>
      <c r="P150" s="45">
        <f t="shared" si="10"/>
        <v>0</v>
      </c>
    </row>
    <row r="151" spans="2:16" s="45" customFormat="1" ht="12.75" hidden="1" customHeight="1" x14ac:dyDescent="0.25">
      <c r="B151" s="45" t="e">
        <f t="shared" si="11"/>
        <v>#REF!</v>
      </c>
      <c r="C151" s="208" t="e">
        <f>'TANK HARDWARE'!M426</f>
        <v>#REF!</v>
      </c>
      <c r="D151" s="165"/>
      <c r="E151" s="164"/>
      <c r="F151" s="209" t="e">
        <f>'TANK HARDWARE'!#REF!+P151</f>
        <v>#REF!</v>
      </c>
      <c r="G151" s="167"/>
      <c r="H151" s="167"/>
      <c r="I151" s="167"/>
      <c r="J151" s="167"/>
      <c r="K151" s="167"/>
      <c r="L151" s="168"/>
      <c r="N151" s="45" t="e">
        <f t="shared" si="9"/>
        <v>#REF!</v>
      </c>
      <c r="O151" s="45" t="e">
        <f>VLOOKUP(C151,#REF!,4,FALSE)</f>
        <v>#REF!</v>
      </c>
      <c r="P151" s="45">
        <f t="shared" si="10"/>
        <v>0</v>
      </c>
    </row>
    <row r="152" spans="2:16" s="45" customFormat="1" ht="12.75" hidden="1" customHeight="1" x14ac:dyDescent="0.25">
      <c r="B152" s="45" t="e">
        <f t="shared" si="11"/>
        <v>#REF!</v>
      </c>
      <c r="C152" s="208" t="e">
        <f>'TANK HARDWARE'!M427</f>
        <v>#REF!</v>
      </c>
      <c r="D152" s="165"/>
      <c r="E152" s="164"/>
      <c r="F152" s="209" t="e">
        <f>'TANK HARDWARE'!#REF!+P152</f>
        <v>#REF!</v>
      </c>
      <c r="G152" s="167"/>
      <c r="H152" s="167"/>
      <c r="I152" s="167"/>
      <c r="J152" s="167"/>
      <c r="K152" s="167"/>
      <c r="L152" s="168"/>
      <c r="N152" s="45" t="e">
        <f t="shared" si="9"/>
        <v>#REF!</v>
      </c>
      <c r="O152" s="45" t="e">
        <f>VLOOKUP(C152,#REF!,4,FALSE)</f>
        <v>#REF!</v>
      </c>
      <c r="P152" s="45">
        <f t="shared" si="10"/>
        <v>0</v>
      </c>
    </row>
    <row r="153" spans="2:16" s="45" customFormat="1" ht="12.75" hidden="1" customHeight="1" x14ac:dyDescent="0.25">
      <c r="B153" s="45" t="e">
        <f t="shared" si="11"/>
        <v>#REF!</v>
      </c>
      <c r="C153" s="208" t="e">
        <f>'TANK HARDWARE'!M428</f>
        <v>#REF!</v>
      </c>
      <c r="D153" s="165"/>
      <c r="E153" s="164"/>
      <c r="F153" s="209" t="e">
        <f>'TANK HARDWARE'!#REF!+P153</f>
        <v>#REF!</v>
      </c>
      <c r="G153" s="167"/>
      <c r="H153" s="167"/>
      <c r="I153" s="167"/>
      <c r="J153" s="167"/>
      <c r="K153" s="167"/>
      <c r="L153" s="168"/>
      <c r="N153" s="45" t="e">
        <f t="shared" si="9"/>
        <v>#REF!</v>
      </c>
      <c r="O153" s="45" t="e">
        <f>VLOOKUP(C153,#REF!,4,FALSE)</f>
        <v>#REF!</v>
      </c>
      <c r="P153" s="45">
        <f t="shared" ref="P153:P157" si="12">IFERROR(O153,0)</f>
        <v>0</v>
      </c>
    </row>
    <row r="154" spans="2:16" s="45" customFormat="1" ht="12.75" hidden="1" customHeight="1" x14ac:dyDescent="0.25">
      <c r="B154" s="45" t="e">
        <f t="shared" si="11"/>
        <v>#REF!</v>
      </c>
      <c r="C154" s="208" t="e">
        <f>'TANK HARDWARE'!M429</f>
        <v>#REF!</v>
      </c>
      <c r="D154" s="165"/>
      <c r="E154" s="164"/>
      <c r="F154" s="209" t="e">
        <f>'TANK HARDWARE'!#REF!+P154</f>
        <v>#REF!</v>
      </c>
      <c r="G154" s="167"/>
      <c r="H154" s="167"/>
      <c r="I154" s="167"/>
      <c r="J154" s="167"/>
      <c r="K154" s="167"/>
      <c r="L154" s="168"/>
      <c r="N154" s="45" t="e">
        <f t="shared" si="9"/>
        <v>#REF!</v>
      </c>
      <c r="O154" s="45" t="e">
        <f>VLOOKUP(C154,#REF!,4,FALSE)</f>
        <v>#REF!</v>
      </c>
      <c r="P154" s="45">
        <f t="shared" si="12"/>
        <v>0</v>
      </c>
    </row>
    <row r="155" spans="2:16" s="45" customFormat="1" ht="12.75" hidden="1" customHeight="1" x14ac:dyDescent="0.25">
      <c r="B155" s="45" t="e">
        <f t="shared" si="11"/>
        <v>#REF!</v>
      </c>
      <c r="C155" s="208" t="e">
        <f>'TANK HARDWARE'!M430</f>
        <v>#REF!</v>
      </c>
      <c r="D155" s="165"/>
      <c r="E155" s="164"/>
      <c r="F155" s="209" t="e">
        <f>'TANK HARDWARE'!#REF!+P155</f>
        <v>#REF!</v>
      </c>
      <c r="G155" s="167"/>
      <c r="H155" s="167"/>
      <c r="I155" s="167"/>
      <c r="J155" s="167"/>
      <c r="K155" s="167"/>
      <c r="L155" s="168"/>
      <c r="N155" s="45" t="e">
        <f t="shared" si="9"/>
        <v>#REF!</v>
      </c>
      <c r="O155" s="45" t="e">
        <f>VLOOKUP(C155,#REF!,4,FALSE)</f>
        <v>#REF!</v>
      </c>
      <c r="P155" s="45">
        <f t="shared" si="12"/>
        <v>0</v>
      </c>
    </row>
    <row r="156" spans="2:16" s="45" customFormat="1" ht="12.75" hidden="1" customHeight="1" x14ac:dyDescent="0.25">
      <c r="B156" s="45" t="e">
        <f t="shared" si="11"/>
        <v>#REF!</v>
      </c>
      <c r="C156" s="208" t="e">
        <f>'TANK HARDWARE'!M431</f>
        <v>#REF!</v>
      </c>
      <c r="D156" s="165"/>
      <c r="E156" s="164"/>
      <c r="F156" s="209" t="e">
        <f>'TANK HARDWARE'!#REF!+P156</f>
        <v>#REF!</v>
      </c>
      <c r="G156" s="167"/>
      <c r="H156" s="167"/>
      <c r="I156" s="167"/>
      <c r="J156" s="167"/>
      <c r="K156" s="167"/>
      <c r="L156" s="168"/>
      <c r="N156" s="45" t="e">
        <f t="shared" si="9"/>
        <v>#REF!</v>
      </c>
      <c r="O156" s="45" t="e">
        <f>VLOOKUP(C156,#REF!,4,FALSE)</f>
        <v>#REF!</v>
      </c>
      <c r="P156" s="45">
        <f t="shared" si="12"/>
        <v>0</v>
      </c>
    </row>
    <row r="157" spans="2:16" s="45" customFormat="1" ht="12.75" hidden="1" customHeight="1" x14ac:dyDescent="0.25">
      <c r="B157" s="45" t="e">
        <f t="shared" si="11"/>
        <v>#REF!</v>
      </c>
      <c r="C157" s="208" t="e">
        <f>'TANK HARDWARE'!M432</f>
        <v>#REF!</v>
      </c>
      <c r="D157" s="165"/>
      <c r="E157" s="164"/>
      <c r="F157" s="209" t="e">
        <f>'TANK HARDWARE'!#REF!+P157</f>
        <v>#REF!</v>
      </c>
      <c r="G157" s="167"/>
      <c r="H157" s="167"/>
      <c r="I157" s="167"/>
      <c r="J157" s="167"/>
      <c r="K157" s="167"/>
      <c r="L157" s="168"/>
      <c r="N157" s="45" t="e">
        <f t="shared" si="9"/>
        <v>#REF!</v>
      </c>
      <c r="O157" s="45" t="e">
        <f>VLOOKUP(C157,#REF!,4,FALSE)</f>
        <v>#REF!</v>
      </c>
      <c r="P157" s="45">
        <f t="shared" si="12"/>
        <v>0</v>
      </c>
    </row>
    <row r="158" spans="2:16" s="45" customFormat="1" ht="12.95" customHeight="1" thickBot="1" x14ac:dyDescent="0.3">
      <c r="B158" s="45">
        <f t="shared" si="11"/>
        <v>1</v>
      </c>
      <c r="C158" s="239"/>
      <c r="D158" s="233"/>
      <c r="E158" s="233"/>
      <c r="F158" s="232"/>
      <c r="G158" s="233"/>
      <c r="H158" s="233"/>
      <c r="I158" s="233"/>
      <c r="J158" s="233"/>
      <c r="K158" s="233"/>
      <c r="L158" s="224"/>
      <c r="N158" s="45">
        <v>1</v>
      </c>
    </row>
    <row r="159" spans="2:16" s="45" customFormat="1" ht="12.95" customHeight="1" thickBot="1" x14ac:dyDescent="0.3">
      <c r="B159" s="45">
        <f t="shared" si="11"/>
        <v>1</v>
      </c>
      <c r="C159" s="211" t="s">
        <v>751</v>
      </c>
      <c r="D159" s="212"/>
      <c r="E159" s="213"/>
      <c r="F159" s="211" t="s">
        <v>55</v>
      </c>
      <c r="G159" s="212"/>
      <c r="H159" s="212"/>
      <c r="I159" s="212"/>
      <c r="J159" s="212"/>
      <c r="K159" s="212"/>
      <c r="L159" s="213"/>
      <c r="N159" s="45">
        <v>1</v>
      </c>
    </row>
    <row r="160" spans="2:16" s="45" customFormat="1" ht="12.75" hidden="1" customHeight="1" x14ac:dyDescent="0.25">
      <c r="B160" s="45" t="e">
        <f t="shared" si="11"/>
        <v>#REF!</v>
      </c>
      <c r="C160" s="210" t="e">
        <f>'TANK HARDWARE'!#REF!</f>
        <v>#REF!</v>
      </c>
      <c r="D160" s="167"/>
      <c r="E160" s="168"/>
      <c r="F160" s="209" t="e">
        <f>'TANK HARDWARE'!H256+P160</f>
        <v>#REF!</v>
      </c>
      <c r="G160" s="167"/>
      <c r="H160" s="167"/>
      <c r="I160" s="167"/>
      <c r="J160" s="167"/>
      <c r="K160" s="167"/>
      <c r="L160" s="168"/>
      <c r="N160" s="45" t="e">
        <f t="shared" ref="N160:N191" si="13">F160</f>
        <v>#REF!</v>
      </c>
      <c r="O160" s="45" t="e">
        <f>VLOOKUP(C160,#REF!,4,FALSE)</f>
        <v>#REF!</v>
      </c>
      <c r="P160" s="45">
        <f t="shared" ref="P160:P191" si="14">IFERROR(O160,0)</f>
        <v>0</v>
      </c>
    </row>
    <row r="161" spans="2:16" s="45" customFormat="1" ht="12.75" hidden="1" customHeight="1" x14ac:dyDescent="0.25">
      <c r="B161" s="45" t="e">
        <f t="shared" si="11"/>
        <v>#REF!</v>
      </c>
      <c r="C161" s="208" t="e">
        <f>'TANK HARDWARE'!#REF!</f>
        <v>#REF!</v>
      </c>
      <c r="D161" s="165"/>
      <c r="E161" s="164"/>
      <c r="F161" s="209" t="e">
        <f>'TANK HARDWARE'!H257+P161</f>
        <v>#REF!</v>
      </c>
      <c r="G161" s="167"/>
      <c r="H161" s="167"/>
      <c r="I161" s="167"/>
      <c r="J161" s="167"/>
      <c r="K161" s="167"/>
      <c r="L161" s="168"/>
      <c r="N161" s="45" t="e">
        <f t="shared" si="13"/>
        <v>#REF!</v>
      </c>
      <c r="O161" s="45" t="e">
        <f>VLOOKUP(C161,#REF!,4,FALSE)</f>
        <v>#REF!</v>
      </c>
      <c r="P161" s="45">
        <f t="shared" si="14"/>
        <v>0</v>
      </c>
    </row>
    <row r="162" spans="2:16" s="45" customFormat="1" ht="12.75" hidden="1" customHeight="1" x14ac:dyDescent="0.25">
      <c r="B162" s="45" t="e">
        <f t="shared" si="11"/>
        <v>#REF!</v>
      </c>
      <c r="C162" s="208" t="e">
        <f>'TANK HARDWARE'!#REF!</f>
        <v>#REF!</v>
      </c>
      <c r="D162" s="165"/>
      <c r="E162" s="164"/>
      <c r="F162" s="209" t="e">
        <f>'TANK HARDWARE'!H258+P162</f>
        <v>#REF!</v>
      </c>
      <c r="G162" s="167"/>
      <c r="H162" s="167"/>
      <c r="I162" s="167"/>
      <c r="J162" s="167"/>
      <c r="K162" s="167"/>
      <c r="L162" s="168"/>
      <c r="N162" s="45" t="e">
        <f t="shared" si="13"/>
        <v>#REF!</v>
      </c>
      <c r="O162" s="45" t="e">
        <f>VLOOKUP(C162,#REF!,4,FALSE)</f>
        <v>#REF!</v>
      </c>
      <c r="P162" s="45">
        <f t="shared" si="14"/>
        <v>0</v>
      </c>
    </row>
    <row r="163" spans="2:16" s="45" customFormat="1" ht="12.75" hidden="1" customHeight="1" x14ac:dyDescent="0.25">
      <c r="B163" s="45" t="e">
        <f t="shared" si="11"/>
        <v>#REF!</v>
      </c>
      <c r="C163" s="208" t="e">
        <f>'TANK HARDWARE'!#REF!</f>
        <v>#REF!</v>
      </c>
      <c r="D163" s="165"/>
      <c r="E163" s="164"/>
      <c r="F163" s="209" t="e">
        <f>'TANK HARDWARE'!H259+P163</f>
        <v>#REF!</v>
      </c>
      <c r="G163" s="167"/>
      <c r="H163" s="167"/>
      <c r="I163" s="167"/>
      <c r="J163" s="167"/>
      <c r="K163" s="167"/>
      <c r="L163" s="168"/>
      <c r="N163" s="45" t="e">
        <f t="shared" si="13"/>
        <v>#REF!</v>
      </c>
      <c r="O163" s="45" t="e">
        <f>VLOOKUP(C163,#REF!,4,FALSE)</f>
        <v>#REF!</v>
      </c>
      <c r="P163" s="45">
        <f t="shared" si="14"/>
        <v>0</v>
      </c>
    </row>
    <row r="164" spans="2:16" s="45" customFormat="1" ht="12.75" hidden="1" customHeight="1" x14ac:dyDescent="0.25">
      <c r="B164" s="45" t="e">
        <f t="shared" si="11"/>
        <v>#REF!</v>
      </c>
      <c r="C164" s="208" t="e">
        <f>'TANK HARDWARE'!#REF!</f>
        <v>#REF!</v>
      </c>
      <c r="D164" s="165"/>
      <c r="E164" s="164"/>
      <c r="F164" s="209" t="e">
        <f>'TANK HARDWARE'!H260+P164</f>
        <v>#REF!</v>
      </c>
      <c r="G164" s="167"/>
      <c r="H164" s="167"/>
      <c r="I164" s="167"/>
      <c r="J164" s="167"/>
      <c r="K164" s="167"/>
      <c r="L164" s="168"/>
      <c r="N164" s="45" t="e">
        <f t="shared" si="13"/>
        <v>#REF!</v>
      </c>
      <c r="O164" s="45" t="e">
        <f>VLOOKUP(C164,#REF!,4,FALSE)</f>
        <v>#REF!</v>
      </c>
      <c r="P164" s="45">
        <f t="shared" si="14"/>
        <v>0</v>
      </c>
    </row>
    <row r="165" spans="2:16" s="45" customFormat="1" ht="12.75" hidden="1" customHeight="1" x14ac:dyDescent="0.25">
      <c r="B165" s="45" t="e">
        <f t="shared" si="11"/>
        <v>#REF!</v>
      </c>
      <c r="C165" s="208" t="e">
        <f>'TANK HARDWARE'!#REF!</f>
        <v>#REF!</v>
      </c>
      <c r="D165" s="165"/>
      <c r="E165" s="164"/>
      <c r="F165" s="209" t="e">
        <f>'TANK HARDWARE'!H261+P165</f>
        <v>#REF!</v>
      </c>
      <c r="G165" s="167"/>
      <c r="H165" s="167"/>
      <c r="I165" s="167"/>
      <c r="J165" s="167"/>
      <c r="K165" s="167"/>
      <c r="L165" s="168"/>
      <c r="N165" s="45" t="e">
        <f t="shared" si="13"/>
        <v>#REF!</v>
      </c>
      <c r="O165" s="45" t="e">
        <f>VLOOKUP(C165,#REF!,4,FALSE)</f>
        <v>#REF!</v>
      </c>
      <c r="P165" s="45">
        <f t="shared" si="14"/>
        <v>0</v>
      </c>
    </row>
    <row r="166" spans="2:16" s="45" customFormat="1" ht="12.75" hidden="1" customHeight="1" x14ac:dyDescent="0.25">
      <c r="B166" s="45" t="e">
        <f t="shared" si="11"/>
        <v>#REF!</v>
      </c>
      <c r="C166" s="208" t="e">
        <f>'TANK HARDWARE'!#REF!</f>
        <v>#REF!</v>
      </c>
      <c r="D166" s="165"/>
      <c r="E166" s="164"/>
      <c r="F166" s="209" t="e">
        <f>'TANK HARDWARE'!H262+P166</f>
        <v>#REF!</v>
      </c>
      <c r="G166" s="167"/>
      <c r="H166" s="167"/>
      <c r="I166" s="167"/>
      <c r="J166" s="167"/>
      <c r="K166" s="167"/>
      <c r="L166" s="168"/>
      <c r="N166" s="45" t="e">
        <f t="shared" si="13"/>
        <v>#REF!</v>
      </c>
      <c r="O166" s="45" t="e">
        <f>VLOOKUP(C166,#REF!,4,FALSE)</f>
        <v>#REF!</v>
      </c>
      <c r="P166" s="45">
        <f t="shared" si="14"/>
        <v>0</v>
      </c>
    </row>
    <row r="167" spans="2:16" s="45" customFormat="1" ht="12.75" hidden="1" customHeight="1" x14ac:dyDescent="0.25">
      <c r="B167" s="45" t="e">
        <f t="shared" si="11"/>
        <v>#REF!</v>
      </c>
      <c r="C167" s="208" t="e">
        <f>'TANK HARDWARE'!#REF!</f>
        <v>#REF!</v>
      </c>
      <c r="D167" s="165"/>
      <c r="E167" s="164"/>
      <c r="F167" s="209" t="e">
        <f>'TANK HARDWARE'!H263+P167</f>
        <v>#REF!</v>
      </c>
      <c r="G167" s="167"/>
      <c r="H167" s="167"/>
      <c r="I167" s="167"/>
      <c r="J167" s="167"/>
      <c r="K167" s="167"/>
      <c r="L167" s="168"/>
      <c r="N167" s="45" t="e">
        <f t="shared" si="13"/>
        <v>#REF!</v>
      </c>
      <c r="O167" s="45" t="e">
        <f>VLOOKUP(C167,#REF!,4,FALSE)</f>
        <v>#REF!</v>
      </c>
      <c r="P167" s="45">
        <f t="shared" si="14"/>
        <v>0</v>
      </c>
    </row>
    <row r="168" spans="2:16" s="45" customFormat="1" ht="12.75" hidden="1" customHeight="1" x14ac:dyDescent="0.25">
      <c r="B168" s="45" t="e">
        <f t="shared" si="11"/>
        <v>#REF!</v>
      </c>
      <c r="C168" s="208" t="e">
        <f>'TANK HARDWARE'!#REF!</f>
        <v>#REF!</v>
      </c>
      <c r="D168" s="165"/>
      <c r="E168" s="164"/>
      <c r="F168" s="209" t="e">
        <f>'TANK HARDWARE'!H264+P168</f>
        <v>#REF!</v>
      </c>
      <c r="G168" s="167"/>
      <c r="H168" s="167"/>
      <c r="I168" s="167"/>
      <c r="J168" s="167"/>
      <c r="K168" s="167"/>
      <c r="L168" s="168"/>
      <c r="N168" s="45" t="e">
        <f t="shared" si="13"/>
        <v>#REF!</v>
      </c>
      <c r="O168" s="45" t="e">
        <f>VLOOKUP(C168,#REF!,4,FALSE)</f>
        <v>#REF!</v>
      </c>
      <c r="P168" s="45">
        <f t="shared" si="14"/>
        <v>0</v>
      </c>
    </row>
    <row r="169" spans="2:16" s="45" customFormat="1" ht="12.75" hidden="1" customHeight="1" x14ac:dyDescent="0.25">
      <c r="B169" s="45" t="e">
        <f t="shared" si="11"/>
        <v>#REF!</v>
      </c>
      <c r="C169" s="208" t="e">
        <f>'TANK HARDWARE'!#REF!</f>
        <v>#REF!</v>
      </c>
      <c r="D169" s="165"/>
      <c r="E169" s="164"/>
      <c r="F169" s="209" t="e">
        <f>'TANK HARDWARE'!H265+P169</f>
        <v>#REF!</v>
      </c>
      <c r="G169" s="167"/>
      <c r="H169" s="167"/>
      <c r="I169" s="167"/>
      <c r="J169" s="167"/>
      <c r="K169" s="167"/>
      <c r="L169" s="168"/>
      <c r="N169" s="45" t="e">
        <f t="shared" si="13"/>
        <v>#REF!</v>
      </c>
      <c r="O169" s="45" t="e">
        <f>VLOOKUP(C169,#REF!,4,FALSE)</f>
        <v>#REF!</v>
      </c>
      <c r="P169" s="45">
        <f t="shared" si="14"/>
        <v>0</v>
      </c>
    </row>
    <row r="170" spans="2:16" s="45" customFormat="1" ht="12.75" hidden="1" customHeight="1" x14ac:dyDescent="0.25">
      <c r="B170" s="45" t="e">
        <f t="shared" si="11"/>
        <v>#REF!</v>
      </c>
      <c r="C170" s="208" t="e">
        <f>'TANK HARDWARE'!#REF!</f>
        <v>#REF!</v>
      </c>
      <c r="D170" s="165"/>
      <c r="E170" s="164"/>
      <c r="F170" s="209" t="e">
        <f>'TANK HARDWARE'!H266+P170</f>
        <v>#REF!</v>
      </c>
      <c r="G170" s="167"/>
      <c r="H170" s="167"/>
      <c r="I170" s="167"/>
      <c r="J170" s="167"/>
      <c r="K170" s="167"/>
      <c r="L170" s="168"/>
      <c r="N170" s="45" t="e">
        <f t="shared" si="13"/>
        <v>#REF!</v>
      </c>
      <c r="O170" s="45" t="e">
        <f>VLOOKUP(C170,#REF!,4,FALSE)</f>
        <v>#REF!</v>
      </c>
      <c r="P170" s="45">
        <f t="shared" si="14"/>
        <v>0</v>
      </c>
    </row>
    <row r="171" spans="2:16" s="45" customFormat="1" ht="12.75" hidden="1" customHeight="1" x14ac:dyDescent="0.25">
      <c r="B171" s="45" t="e">
        <f t="shared" si="11"/>
        <v>#REF!</v>
      </c>
      <c r="C171" s="208" t="e">
        <f>'TANK HARDWARE'!#REF!</f>
        <v>#REF!</v>
      </c>
      <c r="D171" s="165"/>
      <c r="E171" s="164"/>
      <c r="F171" s="209" t="e">
        <f>'TANK HARDWARE'!H267+P171</f>
        <v>#REF!</v>
      </c>
      <c r="G171" s="167"/>
      <c r="H171" s="167"/>
      <c r="I171" s="167"/>
      <c r="J171" s="167"/>
      <c r="K171" s="167"/>
      <c r="L171" s="168"/>
      <c r="N171" s="45" t="e">
        <f t="shared" si="13"/>
        <v>#REF!</v>
      </c>
      <c r="O171" s="45" t="e">
        <f>VLOOKUP(C171,#REF!,4,FALSE)</f>
        <v>#REF!</v>
      </c>
      <c r="P171" s="45">
        <f t="shared" si="14"/>
        <v>0</v>
      </c>
    </row>
    <row r="172" spans="2:16" s="45" customFormat="1" ht="12.75" hidden="1" customHeight="1" x14ac:dyDescent="0.25">
      <c r="B172" s="45" t="e">
        <f t="shared" si="11"/>
        <v>#REF!</v>
      </c>
      <c r="C172" s="208" t="e">
        <f>'TANK HARDWARE'!#REF!</f>
        <v>#REF!</v>
      </c>
      <c r="D172" s="165"/>
      <c r="E172" s="164"/>
      <c r="F172" s="209" t="e">
        <f>'TANK HARDWARE'!H268+P172</f>
        <v>#REF!</v>
      </c>
      <c r="G172" s="167"/>
      <c r="H172" s="167"/>
      <c r="I172" s="167"/>
      <c r="J172" s="167"/>
      <c r="K172" s="167"/>
      <c r="L172" s="168"/>
      <c r="N172" s="45" t="e">
        <f t="shared" si="13"/>
        <v>#REF!</v>
      </c>
      <c r="O172" s="45" t="e">
        <f>VLOOKUP(C172,#REF!,4,FALSE)</f>
        <v>#REF!</v>
      </c>
      <c r="P172" s="45">
        <f t="shared" si="14"/>
        <v>0</v>
      </c>
    </row>
    <row r="173" spans="2:16" s="45" customFormat="1" ht="12.75" hidden="1" customHeight="1" x14ac:dyDescent="0.25">
      <c r="B173" s="45" t="e">
        <f t="shared" si="11"/>
        <v>#REF!</v>
      </c>
      <c r="C173" s="208" t="e">
        <f>'TANK HARDWARE'!#REF!</f>
        <v>#REF!</v>
      </c>
      <c r="D173" s="165"/>
      <c r="E173" s="164"/>
      <c r="F173" s="209" t="e">
        <f>'TANK HARDWARE'!H269+P173</f>
        <v>#REF!</v>
      </c>
      <c r="G173" s="167"/>
      <c r="H173" s="167"/>
      <c r="I173" s="167"/>
      <c r="J173" s="167"/>
      <c r="K173" s="167"/>
      <c r="L173" s="168"/>
      <c r="N173" s="45" t="e">
        <f t="shared" si="13"/>
        <v>#REF!</v>
      </c>
      <c r="O173" s="45" t="e">
        <f>VLOOKUP(C173,#REF!,4,FALSE)</f>
        <v>#REF!</v>
      </c>
      <c r="P173" s="45">
        <f t="shared" si="14"/>
        <v>0</v>
      </c>
    </row>
    <row r="174" spans="2:16" s="45" customFormat="1" ht="12.75" hidden="1" customHeight="1" x14ac:dyDescent="0.25">
      <c r="B174" s="45" t="e">
        <f t="shared" si="11"/>
        <v>#REF!</v>
      </c>
      <c r="C174" s="208" t="e">
        <f>'TANK HARDWARE'!#REF!</f>
        <v>#REF!</v>
      </c>
      <c r="D174" s="165"/>
      <c r="E174" s="164"/>
      <c r="F174" s="209" t="e">
        <f>'TANK HARDWARE'!H270+P174</f>
        <v>#REF!</v>
      </c>
      <c r="G174" s="167"/>
      <c r="H174" s="167"/>
      <c r="I174" s="167"/>
      <c r="J174" s="167"/>
      <c r="K174" s="167"/>
      <c r="L174" s="168"/>
      <c r="N174" s="45" t="e">
        <f t="shared" si="13"/>
        <v>#REF!</v>
      </c>
      <c r="O174" s="45" t="e">
        <f>VLOOKUP(C174,#REF!,4,FALSE)</f>
        <v>#REF!</v>
      </c>
      <c r="P174" s="45">
        <f t="shared" si="14"/>
        <v>0</v>
      </c>
    </row>
    <row r="175" spans="2:16" s="45" customFormat="1" ht="12.75" hidden="1" customHeight="1" x14ac:dyDescent="0.25">
      <c r="B175" s="45" t="e">
        <f t="shared" si="11"/>
        <v>#REF!</v>
      </c>
      <c r="C175" s="208" t="e">
        <f>'TANK HARDWARE'!#REF!</f>
        <v>#REF!</v>
      </c>
      <c r="D175" s="165"/>
      <c r="E175" s="164"/>
      <c r="F175" s="209" t="e">
        <f>'TANK HARDWARE'!H271+P175</f>
        <v>#REF!</v>
      </c>
      <c r="G175" s="167"/>
      <c r="H175" s="167"/>
      <c r="I175" s="167"/>
      <c r="J175" s="167"/>
      <c r="K175" s="167"/>
      <c r="L175" s="168"/>
      <c r="N175" s="45" t="e">
        <f t="shared" si="13"/>
        <v>#REF!</v>
      </c>
      <c r="O175" s="45" t="e">
        <f>VLOOKUP(C175,#REF!,4,FALSE)</f>
        <v>#REF!</v>
      </c>
      <c r="P175" s="45">
        <f t="shared" si="14"/>
        <v>0</v>
      </c>
    </row>
    <row r="176" spans="2:16" s="45" customFormat="1" ht="12.75" hidden="1" customHeight="1" x14ac:dyDescent="0.25">
      <c r="B176" s="45" t="e">
        <f t="shared" si="11"/>
        <v>#REF!</v>
      </c>
      <c r="C176" s="208" t="e">
        <f>'TANK HARDWARE'!#REF!</f>
        <v>#REF!</v>
      </c>
      <c r="D176" s="165"/>
      <c r="E176" s="164"/>
      <c r="F176" s="209" t="e">
        <f>'TANK HARDWARE'!H272+P176</f>
        <v>#REF!</v>
      </c>
      <c r="G176" s="167"/>
      <c r="H176" s="167"/>
      <c r="I176" s="167"/>
      <c r="J176" s="167"/>
      <c r="K176" s="167"/>
      <c r="L176" s="168"/>
      <c r="N176" s="45" t="e">
        <f t="shared" si="13"/>
        <v>#REF!</v>
      </c>
      <c r="O176" s="45" t="e">
        <f>VLOOKUP(C176,#REF!,4,FALSE)</f>
        <v>#REF!</v>
      </c>
      <c r="P176" s="45">
        <f t="shared" si="14"/>
        <v>0</v>
      </c>
    </row>
    <row r="177" spans="2:16" s="45" customFormat="1" ht="12.75" hidden="1" customHeight="1" x14ac:dyDescent="0.25">
      <c r="B177" s="45" t="e">
        <f t="shared" si="11"/>
        <v>#REF!</v>
      </c>
      <c r="C177" s="208" t="e">
        <f>'TANK HARDWARE'!#REF!</f>
        <v>#REF!</v>
      </c>
      <c r="D177" s="165"/>
      <c r="E177" s="164"/>
      <c r="F177" s="209" t="e">
        <f>'TANK HARDWARE'!H273+P177</f>
        <v>#REF!</v>
      </c>
      <c r="G177" s="167"/>
      <c r="H177" s="167"/>
      <c r="I177" s="167"/>
      <c r="J177" s="167"/>
      <c r="K177" s="167"/>
      <c r="L177" s="168"/>
      <c r="N177" s="45" t="e">
        <f t="shared" si="13"/>
        <v>#REF!</v>
      </c>
      <c r="O177" s="45" t="e">
        <f>VLOOKUP(C177,#REF!,4,FALSE)</f>
        <v>#REF!</v>
      </c>
      <c r="P177" s="45">
        <f t="shared" si="14"/>
        <v>0</v>
      </c>
    </row>
    <row r="178" spans="2:16" s="45" customFormat="1" ht="12.75" hidden="1" customHeight="1" x14ac:dyDescent="0.25">
      <c r="B178" s="45" t="e">
        <f t="shared" si="11"/>
        <v>#REF!</v>
      </c>
      <c r="C178" s="208" t="e">
        <f>'TANK HARDWARE'!#REF!</f>
        <v>#REF!</v>
      </c>
      <c r="D178" s="165"/>
      <c r="E178" s="164"/>
      <c r="F178" s="209" t="e">
        <f>'TANK HARDWARE'!H274+P178</f>
        <v>#REF!</v>
      </c>
      <c r="G178" s="167"/>
      <c r="H178" s="167"/>
      <c r="I178" s="167"/>
      <c r="J178" s="167"/>
      <c r="K178" s="167"/>
      <c r="L178" s="168"/>
      <c r="N178" s="45" t="e">
        <f t="shared" si="13"/>
        <v>#REF!</v>
      </c>
      <c r="O178" s="45" t="e">
        <f>VLOOKUP(C178,#REF!,4,FALSE)</f>
        <v>#REF!</v>
      </c>
      <c r="P178" s="45">
        <f t="shared" si="14"/>
        <v>0</v>
      </c>
    </row>
    <row r="179" spans="2:16" s="45" customFormat="1" ht="12.75" hidden="1" customHeight="1" x14ac:dyDescent="0.25">
      <c r="B179" s="45" t="e">
        <f t="shared" si="11"/>
        <v>#REF!</v>
      </c>
      <c r="C179" s="208" t="e">
        <f>'TANK HARDWARE'!#REF!</f>
        <v>#REF!</v>
      </c>
      <c r="D179" s="165"/>
      <c r="E179" s="164"/>
      <c r="F179" s="209" t="e">
        <f>'TANK HARDWARE'!H275+P179</f>
        <v>#REF!</v>
      </c>
      <c r="G179" s="167"/>
      <c r="H179" s="167"/>
      <c r="I179" s="167"/>
      <c r="J179" s="167"/>
      <c r="K179" s="167"/>
      <c r="L179" s="168"/>
      <c r="N179" s="45" t="e">
        <f t="shared" si="13"/>
        <v>#REF!</v>
      </c>
      <c r="O179" s="45" t="e">
        <f>VLOOKUP(C179,#REF!,4,FALSE)</f>
        <v>#REF!</v>
      </c>
      <c r="P179" s="45">
        <f t="shared" si="14"/>
        <v>0</v>
      </c>
    </row>
    <row r="180" spans="2:16" s="45" customFormat="1" ht="12.75" customHeight="1" x14ac:dyDescent="0.25">
      <c r="B180" s="45" t="e">
        <f t="shared" si="11"/>
        <v>#REF!</v>
      </c>
      <c r="C180" s="208" t="e">
        <f>'TANK HARDWARE'!#REF!</f>
        <v>#REF!</v>
      </c>
      <c r="D180" s="165"/>
      <c r="E180" s="164"/>
      <c r="F180" s="209" t="e">
        <f>'TANK HARDWARE'!H276+P180</f>
        <v>#REF!</v>
      </c>
      <c r="G180" s="167"/>
      <c r="H180" s="167"/>
      <c r="I180" s="167"/>
      <c r="J180" s="167"/>
      <c r="K180" s="167"/>
      <c r="L180" s="168"/>
      <c r="N180" s="45" t="e">
        <f t="shared" si="13"/>
        <v>#REF!</v>
      </c>
      <c r="O180" s="45" t="e">
        <f>VLOOKUP(C180,#REF!,4,FALSE)</f>
        <v>#REF!</v>
      </c>
      <c r="P180" s="45">
        <f t="shared" si="14"/>
        <v>0</v>
      </c>
    </row>
    <row r="181" spans="2:16" s="45" customFormat="1" ht="12.75" hidden="1" customHeight="1" x14ac:dyDescent="0.25">
      <c r="B181" s="45" t="e">
        <f t="shared" si="11"/>
        <v>#REF!</v>
      </c>
      <c r="C181" s="208" t="e">
        <f>'TANK HARDWARE'!#REF!</f>
        <v>#REF!</v>
      </c>
      <c r="D181" s="165"/>
      <c r="E181" s="164"/>
      <c r="F181" s="209" t="e">
        <f>'TANK HARDWARE'!H277+P181</f>
        <v>#REF!</v>
      </c>
      <c r="G181" s="167"/>
      <c r="H181" s="167"/>
      <c r="I181" s="167"/>
      <c r="J181" s="167"/>
      <c r="K181" s="167"/>
      <c r="L181" s="168"/>
      <c r="N181" s="45" t="e">
        <f t="shared" si="13"/>
        <v>#REF!</v>
      </c>
      <c r="O181" s="45" t="e">
        <f>VLOOKUP(C181,#REF!,4,FALSE)</f>
        <v>#REF!</v>
      </c>
      <c r="P181" s="45">
        <f t="shared" si="14"/>
        <v>0</v>
      </c>
    </row>
    <row r="182" spans="2:16" s="45" customFormat="1" ht="12.75" hidden="1" customHeight="1" x14ac:dyDescent="0.25">
      <c r="B182" s="45" t="e">
        <f t="shared" si="11"/>
        <v>#REF!</v>
      </c>
      <c r="C182" s="208" t="e">
        <f>'TANK HARDWARE'!#REF!</f>
        <v>#REF!</v>
      </c>
      <c r="D182" s="165"/>
      <c r="E182" s="164"/>
      <c r="F182" s="209" t="e">
        <f>'TANK HARDWARE'!H278+P182</f>
        <v>#REF!</v>
      </c>
      <c r="G182" s="167"/>
      <c r="H182" s="167"/>
      <c r="I182" s="167"/>
      <c r="J182" s="167"/>
      <c r="K182" s="167"/>
      <c r="L182" s="168"/>
      <c r="N182" s="45" t="e">
        <f t="shared" si="13"/>
        <v>#REF!</v>
      </c>
      <c r="O182" s="45" t="e">
        <f>VLOOKUP(C182,#REF!,4,FALSE)</f>
        <v>#REF!</v>
      </c>
      <c r="P182" s="45">
        <f t="shared" si="14"/>
        <v>0</v>
      </c>
    </row>
    <row r="183" spans="2:16" s="45" customFormat="1" ht="12.75" hidden="1" customHeight="1" x14ac:dyDescent="0.25">
      <c r="B183" s="45" t="e">
        <f t="shared" si="11"/>
        <v>#REF!</v>
      </c>
      <c r="C183" s="208" t="e">
        <f>'TANK HARDWARE'!#REF!</f>
        <v>#REF!</v>
      </c>
      <c r="D183" s="165"/>
      <c r="E183" s="164"/>
      <c r="F183" s="209" t="e">
        <f>'TANK HARDWARE'!H279+P183</f>
        <v>#REF!</v>
      </c>
      <c r="G183" s="167"/>
      <c r="H183" s="167"/>
      <c r="I183" s="167"/>
      <c r="J183" s="167"/>
      <c r="K183" s="167"/>
      <c r="L183" s="168"/>
      <c r="N183" s="45" t="e">
        <f t="shared" si="13"/>
        <v>#REF!</v>
      </c>
      <c r="O183" s="45" t="e">
        <f>VLOOKUP(C183,#REF!,4,FALSE)</f>
        <v>#REF!</v>
      </c>
      <c r="P183" s="45">
        <f t="shared" si="14"/>
        <v>0</v>
      </c>
    </row>
    <row r="184" spans="2:16" s="45" customFormat="1" ht="12.75" hidden="1" customHeight="1" x14ac:dyDescent="0.25">
      <c r="B184" s="45" t="e">
        <f t="shared" si="11"/>
        <v>#REF!</v>
      </c>
      <c r="C184" s="208" t="e">
        <f>'TANK HARDWARE'!#REF!</f>
        <v>#REF!</v>
      </c>
      <c r="D184" s="165"/>
      <c r="E184" s="164"/>
      <c r="F184" s="209" t="e">
        <f>'TANK HARDWARE'!H280+P184</f>
        <v>#REF!</v>
      </c>
      <c r="G184" s="167"/>
      <c r="H184" s="167"/>
      <c r="I184" s="167"/>
      <c r="J184" s="167"/>
      <c r="K184" s="167"/>
      <c r="L184" s="168"/>
      <c r="N184" s="45" t="e">
        <f t="shared" si="13"/>
        <v>#REF!</v>
      </c>
      <c r="O184" s="45" t="e">
        <f>VLOOKUP(C184,#REF!,4,FALSE)</f>
        <v>#REF!</v>
      </c>
      <c r="P184" s="45">
        <f t="shared" si="14"/>
        <v>0</v>
      </c>
    </row>
    <row r="185" spans="2:16" s="45" customFormat="1" ht="12.75" hidden="1" customHeight="1" x14ac:dyDescent="0.25">
      <c r="B185" s="45" t="e">
        <f t="shared" si="11"/>
        <v>#REF!</v>
      </c>
      <c r="C185" s="208" t="e">
        <f>'TANK HARDWARE'!#REF!</f>
        <v>#REF!</v>
      </c>
      <c r="D185" s="165"/>
      <c r="E185" s="164"/>
      <c r="F185" s="209" t="e">
        <f>'TANK HARDWARE'!H281+P185</f>
        <v>#REF!</v>
      </c>
      <c r="G185" s="167"/>
      <c r="H185" s="167"/>
      <c r="I185" s="167"/>
      <c r="J185" s="167"/>
      <c r="K185" s="167"/>
      <c r="L185" s="168"/>
      <c r="N185" s="45" t="e">
        <f t="shared" si="13"/>
        <v>#REF!</v>
      </c>
      <c r="O185" s="45" t="e">
        <f>VLOOKUP(C185,#REF!,4,FALSE)</f>
        <v>#REF!</v>
      </c>
      <c r="P185" s="45">
        <f t="shared" si="14"/>
        <v>0</v>
      </c>
    </row>
    <row r="186" spans="2:16" s="45" customFormat="1" ht="12.75" hidden="1" customHeight="1" x14ac:dyDescent="0.25">
      <c r="B186" s="45" t="e">
        <f t="shared" si="11"/>
        <v>#REF!</v>
      </c>
      <c r="C186" s="208" t="e">
        <f>'TANK HARDWARE'!#REF!</f>
        <v>#REF!</v>
      </c>
      <c r="D186" s="165"/>
      <c r="E186" s="164"/>
      <c r="F186" s="209" t="e">
        <f>'TANK HARDWARE'!H282+P186</f>
        <v>#REF!</v>
      </c>
      <c r="G186" s="167"/>
      <c r="H186" s="167"/>
      <c r="I186" s="167"/>
      <c r="J186" s="167"/>
      <c r="K186" s="167"/>
      <c r="L186" s="168"/>
      <c r="N186" s="45" t="e">
        <f t="shared" si="13"/>
        <v>#REF!</v>
      </c>
      <c r="O186" s="45" t="e">
        <f>VLOOKUP(C186,#REF!,4,FALSE)</f>
        <v>#REF!</v>
      </c>
      <c r="P186" s="45">
        <f t="shared" si="14"/>
        <v>0</v>
      </c>
    </row>
    <row r="187" spans="2:16" s="45" customFormat="1" ht="12.75" hidden="1" customHeight="1" x14ac:dyDescent="0.25">
      <c r="B187" s="45" t="e">
        <f t="shared" si="11"/>
        <v>#REF!</v>
      </c>
      <c r="C187" s="208" t="e">
        <f>'TANK HARDWARE'!#REF!</f>
        <v>#REF!</v>
      </c>
      <c r="D187" s="165"/>
      <c r="E187" s="164"/>
      <c r="F187" s="209" t="e">
        <f>'TANK HARDWARE'!H283+P187</f>
        <v>#REF!</v>
      </c>
      <c r="G187" s="167"/>
      <c r="H187" s="167"/>
      <c r="I187" s="167"/>
      <c r="J187" s="167"/>
      <c r="K187" s="167"/>
      <c r="L187" s="168"/>
      <c r="N187" s="45" t="e">
        <f t="shared" si="13"/>
        <v>#REF!</v>
      </c>
      <c r="O187" s="45" t="e">
        <f>VLOOKUP(C187,#REF!,4,FALSE)</f>
        <v>#REF!</v>
      </c>
      <c r="P187" s="45">
        <f t="shared" si="14"/>
        <v>0</v>
      </c>
    </row>
    <row r="188" spans="2:16" s="45" customFormat="1" ht="12.75" hidden="1" customHeight="1" x14ac:dyDescent="0.25">
      <c r="B188" s="45" t="e">
        <f t="shared" si="11"/>
        <v>#REF!</v>
      </c>
      <c r="C188" s="208" t="e">
        <f>'TANK HARDWARE'!#REF!</f>
        <v>#REF!</v>
      </c>
      <c r="D188" s="165"/>
      <c r="E188" s="164"/>
      <c r="F188" s="209" t="e">
        <f>'TANK HARDWARE'!H284+P188</f>
        <v>#REF!</v>
      </c>
      <c r="G188" s="167"/>
      <c r="H188" s="167"/>
      <c r="I188" s="167"/>
      <c r="J188" s="167"/>
      <c r="K188" s="167"/>
      <c r="L188" s="168"/>
      <c r="N188" s="45" t="e">
        <f t="shared" si="13"/>
        <v>#REF!</v>
      </c>
      <c r="O188" s="45" t="e">
        <f>VLOOKUP(C188,#REF!,4,FALSE)</f>
        <v>#REF!</v>
      </c>
      <c r="P188" s="45">
        <f t="shared" si="14"/>
        <v>0</v>
      </c>
    </row>
    <row r="189" spans="2:16" s="45" customFormat="1" ht="12.75" customHeight="1" x14ac:dyDescent="0.25">
      <c r="B189" s="45" t="e">
        <f t="shared" si="11"/>
        <v>#REF!</v>
      </c>
      <c r="C189" s="208" t="e">
        <f>'TANK HARDWARE'!#REF!</f>
        <v>#REF!</v>
      </c>
      <c r="D189" s="165"/>
      <c r="E189" s="164"/>
      <c r="F189" s="209" t="e">
        <f>'TANK HARDWARE'!H285+P189</f>
        <v>#REF!</v>
      </c>
      <c r="G189" s="167"/>
      <c r="H189" s="167"/>
      <c r="I189" s="167"/>
      <c r="J189" s="167"/>
      <c r="K189" s="167"/>
      <c r="L189" s="168"/>
      <c r="N189" s="45" t="e">
        <f t="shared" si="13"/>
        <v>#REF!</v>
      </c>
      <c r="O189" s="45" t="e">
        <f>VLOOKUP(C189,#REF!,4,FALSE)</f>
        <v>#REF!</v>
      </c>
      <c r="P189" s="45">
        <f t="shared" si="14"/>
        <v>0</v>
      </c>
    </row>
    <row r="190" spans="2:16" s="45" customFormat="1" ht="12.75" hidden="1" customHeight="1" x14ac:dyDescent="0.25">
      <c r="B190" s="45" t="e">
        <f t="shared" si="11"/>
        <v>#REF!</v>
      </c>
      <c r="C190" s="208" t="e">
        <f>'TANK HARDWARE'!#REF!</f>
        <v>#REF!</v>
      </c>
      <c r="D190" s="165"/>
      <c r="E190" s="164"/>
      <c r="F190" s="209" t="e">
        <f>'TANK HARDWARE'!H286+P190</f>
        <v>#REF!</v>
      </c>
      <c r="G190" s="167"/>
      <c r="H190" s="167"/>
      <c r="I190" s="167"/>
      <c r="J190" s="167"/>
      <c r="K190" s="167"/>
      <c r="L190" s="168"/>
      <c r="N190" s="45" t="e">
        <f t="shared" si="13"/>
        <v>#REF!</v>
      </c>
      <c r="O190" s="45" t="e">
        <f>VLOOKUP(C190,#REF!,4,FALSE)</f>
        <v>#REF!</v>
      </c>
      <c r="P190" s="45">
        <f t="shared" si="14"/>
        <v>0</v>
      </c>
    </row>
    <row r="191" spans="2:16" s="45" customFormat="1" ht="12.95" hidden="1" customHeight="1" x14ac:dyDescent="0.25">
      <c r="B191" s="45" t="e">
        <f t="shared" si="11"/>
        <v>#REF!</v>
      </c>
      <c r="C191" s="208" t="e">
        <f>'TANK HARDWARE'!#REF!</f>
        <v>#REF!</v>
      </c>
      <c r="D191" s="165"/>
      <c r="E191" s="164"/>
      <c r="F191" s="209" t="e">
        <f>'TANK HARDWARE'!H287+P191</f>
        <v>#REF!</v>
      </c>
      <c r="G191" s="167"/>
      <c r="H191" s="167"/>
      <c r="I191" s="167"/>
      <c r="J191" s="167"/>
      <c r="K191" s="167"/>
      <c r="L191" s="168"/>
      <c r="N191" s="45" t="e">
        <f t="shared" si="13"/>
        <v>#REF!</v>
      </c>
      <c r="O191" s="45" t="e">
        <f>VLOOKUP(C191,#REF!,4,FALSE)</f>
        <v>#REF!</v>
      </c>
      <c r="P191" s="45">
        <f t="shared" si="14"/>
        <v>0</v>
      </c>
    </row>
    <row r="192" spans="2:16" s="45" customFormat="1" ht="12.75" hidden="1" customHeight="1" x14ac:dyDescent="0.25">
      <c r="B192" s="45" t="e">
        <f t="shared" si="11"/>
        <v>#REF!</v>
      </c>
      <c r="C192" s="208" t="e">
        <f>'TANK HARDWARE'!#REF!</f>
        <v>#REF!</v>
      </c>
      <c r="D192" s="165"/>
      <c r="E192" s="164"/>
      <c r="F192" s="209" t="e">
        <f>'TANK HARDWARE'!H288+P192</f>
        <v>#REF!</v>
      </c>
      <c r="G192" s="167"/>
      <c r="H192" s="167"/>
      <c r="I192" s="167"/>
      <c r="J192" s="167"/>
      <c r="K192" s="167"/>
      <c r="L192" s="168"/>
      <c r="N192" s="45" t="e">
        <f t="shared" ref="N192:N223" si="15">F192</f>
        <v>#REF!</v>
      </c>
      <c r="O192" s="45" t="e">
        <f>VLOOKUP(C192,#REF!,4,FALSE)</f>
        <v>#REF!</v>
      </c>
      <c r="P192" s="45">
        <f t="shared" ref="P192:P223" si="16">IFERROR(O192,0)</f>
        <v>0</v>
      </c>
    </row>
    <row r="193" spans="2:16" s="45" customFormat="1" ht="12.75" hidden="1" customHeight="1" x14ac:dyDescent="0.25">
      <c r="B193" s="45" t="e">
        <f t="shared" si="11"/>
        <v>#REF!</v>
      </c>
      <c r="C193" s="208" t="e">
        <f>'TANK HARDWARE'!#REF!</f>
        <v>#REF!</v>
      </c>
      <c r="D193" s="165"/>
      <c r="E193" s="164"/>
      <c r="F193" s="209" t="e">
        <f>'TANK HARDWARE'!H289+P193</f>
        <v>#REF!</v>
      </c>
      <c r="G193" s="167"/>
      <c r="H193" s="167"/>
      <c r="I193" s="167"/>
      <c r="J193" s="167"/>
      <c r="K193" s="167"/>
      <c r="L193" s="168"/>
      <c r="N193" s="45" t="e">
        <f t="shared" si="15"/>
        <v>#REF!</v>
      </c>
      <c r="O193" s="45" t="e">
        <f>VLOOKUP(C193,#REF!,4,FALSE)</f>
        <v>#REF!</v>
      </c>
      <c r="P193" s="45">
        <f t="shared" si="16"/>
        <v>0</v>
      </c>
    </row>
    <row r="194" spans="2:16" s="45" customFormat="1" ht="12.75" hidden="1" customHeight="1" x14ac:dyDescent="0.25">
      <c r="B194" s="45" t="e">
        <f t="shared" si="11"/>
        <v>#REF!</v>
      </c>
      <c r="C194" s="208" t="e">
        <f>'TANK HARDWARE'!#REF!</f>
        <v>#REF!</v>
      </c>
      <c r="D194" s="165"/>
      <c r="E194" s="164"/>
      <c r="F194" s="209" t="e">
        <f>'TANK HARDWARE'!H290+P194</f>
        <v>#REF!</v>
      </c>
      <c r="G194" s="167"/>
      <c r="H194" s="167"/>
      <c r="I194" s="167"/>
      <c r="J194" s="167"/>
      <c r="K194" s="167"/>
      <c r="L194" s="168"/>
      <c r="N194" s="45" t="e">
        <f t="shared" si="15"/>
        <v>#REF!</v>
      </c>
      <c r="O194" s="45" t="e">
        <f>VLOOKUP(C194,#REF!,4,FALSE)</f>
        <v>#REF!</v>
      </c>
      <c r="P194" s="45">
        <f t="shared" si="16"/>
        <v>0</v>
      </c>
    </row>
    <row r="195" spans="2:16" s="45" customFormat="1" ht="12.75" hidden="1" customHeight="1" x14ac:dyDescent="0.25">
      <c r="B195" s="45" t="e">
        <f t="shared" si="11"/>
        <v>#REF!</v>
      </c>
      <c r="C195" s="208" t="e">
        <f>'TANK HARDWARE'!#REF!</f>
        <v>#REF!</v>
      </c>
      <c r="D195" s="165"/>
      <c r="E195" s="164"/>
      <c r="F195" s="209" t="e">
        <f>'TANK HARDWARE'!H291+P195</f>
        <v>#REF!</v>
      </c>
      <c r="G195" s="167"/>
      <c r="H195" s="167"/>
      <c r="I195" s="167"/>
      <c r="J195" s="167"/>
      <c r="K195" s="167"/>
      <c r="L195" s="168"/>
      <c r="N195" s="45" t="e">
        <f t="shared" si="15"/>
        <v>#REF!</v>
      </c>
      <c r="O195" s="45" t="e">
        <f>VLOOKUP(C195,#REF!,4,FALSE)</f>
        <v>#REF!</v>
      </c>
      <c r="P195" s="45">
        <f t="shared" si="16"/>
        <v>0</v>
      </c>
    </row>
    <row r="196" spans="2:16" s="45" customFormat="1" ht="12.75" hidden="1" customHeight="1" x14ac:dyDescent="0.25">
      <c r="B196" s="45" t="e">
        <f t="shared" si="11"/>
        <v>#REF!</v>
      </c>
      <c r="C196" s="208" t="e">
        <f>'TANK HARDWARE'!#REF!</f>
        <v>#REF!</v>
      </c>
      <c r="D196" s="165"/>
      <c r="E196" s="164"/>
      <c r="F196" s="209" t="e">
        <f>'TANK HARDWARE'!H292+P196</f>
        <v>#REF!</v>
      </c>
      <c r="G196" s="167"/>
      <c r="H196" s="167"/>
      <c r="I196" s="167"/>
      <c r="J196" s="167"/>
      <c r="K196" s="167"/>
      <c r="L196" s="168"/>
      <c r="N196" s="45" t="e">
        <f t="shared" si="15"/>
        <v>#REF!</v>
      </c>
      <c r="O196" s="45" t="e">
        <f>VLOOKUP(C196,#REF!,4,FALSE)</f>
        <v>#REF!</v>
      </c>
      <c r="P196" s="45">
        <f t="shared" si="16"/>
        <v>0</v>
      </c>
    </row>
    <row r="197" spans="2:16" s="45" customFormat="1" ht="12.95" hidden="1" customHeight="1" x14ac:dyDescent="0.25">
      <c r="B197" s="45" t="e">
        <f t="shared" si="11"/>
        <v>#REF!</v>
      </c>
      <c r="C197" s="208" t="e">
        <f>'TANK HARDWARE'!#REF!</f>
        <v>#REF!</v>
      </c>
      <c r="D197" s="165"/>
      <c r="E197" s="164"/>
      <c r="F197" s="209" t="e">
        <f>'TANK HARDWARE'!H293+P197</f>
        <v>#REF!</v>
      </c>
      <c r="G197" s="167"/>
      <c r="H197" s="167"/>
      <c r="I197" s="167"/>
      <c r="J197" s="167"/>
      <c r="K197" s="167"/>
      <c r="L197" s="168"/>
      <c r="N197" s="45" t="e">
        <f t="shared" si="15"/>
        <v>#REF!</v>
      </c>
      <c r="O197" s="45" t="e">
        <f>VLOOKUP(C197,#REF!,4,FALSE)</f>
        <v>#REF!</v>
      </c>
      <c r="P197" s="45">
        <f t="shared" si="16"/>
        <v>0</v>
      </c>
    </row>
    <row r="198" spans="2:16" s="45" customFormat="1" ht="12.75" hidden="1" customHeight="1" x14ac:dyDescent="0.25">
      <c r="B198" s="45" t="e">
        <f t="shared" si="11"/>
        <v>#REF!</v>
      </c>
      <c r="C198" s="208" t="e">
        <f>'TANK HARDWARE'!#REF!</f>
        <v>#REF!</v>
      </c>
      <c r="D198" s="165"/>
      <c r="E198" s="164"/>
      <c r="F198" s="209" t="e">
        <f>'TANK HARDWARE'!H294+P198</f>
        <v>#REF!</v>
      </c>
      <c r="G198" s="167"/>
      <c r="H198" s="167"/>
      <c r="I198" s="167"/>
      <c r="J198" s="167"/>
      <c r="K198" s="167"/>
      <c r="L198" s="168"/>
      <c r="N198" s="45" t="e">
        <f t="shared" si="15"/>
        <v>#REF!</v>
      </c>
      <c r="O198" s="45" t="e">
        <f>VLOOKUP(C198,#REF!,4,FALSE)</f>
        <v>#REF!</v>
      </c>
      <c r="P198" s="45">
        <f t="shared" si="16"/>
        <v>0</v>
      </c>
    </row>
    <row r="199" spans="2:16" s="45" customFormat="1" ht="12.75" hidden="1" customHeight="1" x14ac:dyDescent="0.25">
      <c r="B199" s="45" t="e">
        <f t="shared" si="11"/>
        <v>#REF!</v>
      </c>
      <c r="C199" s="208" t="e">
        <f>'TANK HARDWARE'!#REF!</f>
        <v>#REF!</v>
      </c>
      <c r="D199" s="165"/>
      <c r="E199" s="164"/>
      <c r="F199" s="209" t="e">
        <f>'TANK HARDWARE'!H295+P199</f>
        <v>#REF!</v>
      </c>
      <c r="G199" s="167"/>
      <c r="H199" s="167"/>
      <c r="I199" s="167"/>
      <c r="J199" s="167"/>
      <c r="K199" s="167"/>
      <c r="L199" s="168"/>
      <c r="N199" s="45" t="e">
        <f t="shared" si="15"/>
        <v>#REF!</v>
      </c>
      <c r="O199" s="45" t="e">
        <f>VLOOKUP(C199,#REF!,4,FALSE)</f>
        <v>#REF!</v>
      </c>
      <c r="P199" s="45">
        <f t="shared" si="16"/>
        <v>0</v>
      </c>
    </row>
    <row r="200" spans="2:16" s="45" customFormat="1" ht="12.75" hidden="1" customHeight="1" x14ac:dyDescent="0.25">
      <c r="B200" s="45" t="e">
        <f t="shared" si="11"/>
        <v>#REF!</v>
      </c>
      <c r="C200" s="208" t="e">
        <f>'TANK HARDWARE'!#REF!</f>
        <v>#REF!</v>
      </c>
      <c r="D200" s="165"/>
      <c r="E200" s="164"/>
      <c r="F200" s="209" t="e">
        <f>'TANK HARDWARE'!H296+P200</f>
        <v>#REF!</v>
      </c>
      <c r="G200" s="167"/>
      <c r="H200" s="167"/>
      <c r="I200" s="167"/>
      <c r="J200" s="167"/>
      <c r="K200" s="167"/>
      <c r="L200" s="168"/>
      <c r="N200" s="45" t="e">
        <f t="shared" si="15"/>
        <v>#REF!</v>
      </c>
      <c r="O200" s="45" t="e">
        <f>VLOOKUP(C200,#REF!,4,FALSE)</f>
        <v>#REF!</v>
      </c>
      <c r="P200" s="45">
        <f t="shared" si="16"/>
        <v>0</v>
      </c>
    </row>
    <row r="201" spans="2:16" s="45" customFormat="1" ht="12.75" hidden="1" customHeight="1" x14ac:dyDescent="0.25">
      <c r="B201" s="45" t="e">
        <f t="shared" si="11"/>
        <v>#REF!</v>
      </c>
      <c r="C201" s="208" t="e">
        <f>'TANK HARDWARE'!#REF!</f>
        <v>#REF!</v>
      </c>
      <c r="D201" s="165"/>
      <c r="E201" s="164"/>
      <c r="F201" s="209" t="e">
        <f>'TANK HARDWARE'!H297+P201</f>
        <v>#REF!</v>
      </c>
      <c r="G201" s="167"/>
      <c r="H201" s="167"/>
      <c r="I201" s="167"/>
      <c r="J201" s="167"/>
      <c r="K201" s="167"/>
      <c r="L201" s="168"/>
      <c r="N201" s="45" t="e">
        <f t="shared" si="15"/>
        <v>#REF!</v>
      </c>
      <c r="O201" s="45" t="e">
        <f>VLOOKUP(C201,#REF!,4,FALSE)</f>
        <v>#REF!</v>
      </c>
      <c r="P201" s="45">
        <f t="shared" si="16"/>
        <v>0</v>
      </c>
    </row>
    <row r="202" spans="2:16" s="45" customFormat="1" ht="12.75" hidden="1" customHeight="1" x14ac:dyDescent="0.25">
      <c r="B202" s="45" t="e">
        <f t="shared" si="11"/>
        <v>#REF!</v>
      </c>
      <c r="C202" s="208" t="e">
        <f>'TANK HARDWARE'!#REF!</f>
        <v>#REF!</v>
      </c>
      <c r="D202" s="165"/>
      <c r="E202" s="164"/>
      <c r="F202" s="209" t="e">
        <f>'TANK HARDWARE'!H298+P202</f>
        <v>#REF!</v>
      </c>
      <c r="G202" s="167"/>
      <c r="H202" s="167"/>
      <c r="I202" s="167"/>
      <c r="J202" s="167"/>
      <c r="K202" s="167"/>
      <c r="L202" s="168"/>
      <c r="N202" s="45" t="e">
        <f t="shared" si="15"/>
        <v>#REF!</v>
      </c>
      <c r="O202" s="45" t="e">
        <f>VLOOKUP(C202,#REF!,4,FALSE)</f>
        <v>#REF!</v>
      </c>
      <c r="P202" s="45">
        <f t="shared" si="16"/>
        <v>0</v>
      </c>
    </row>
    <row r="203" spans="2:16" s="45" customFormat="1" ht="12.75" hidden="1" customHeight="1" x14ac:dyDescent="0.25">
      <c r="B203" s="45" t="e">
        <f t="shared" ref="B203:B266" si="17">IF(N203=0,0,1)</f>
        <v>#REF!</v>
      </c>
      <c r="C203" s="208" t="e">
        <f>'TANK HARDWARE'!#REF!</f>
        <v>#REF!</v>
      </c>
      <c r="D203" s="165"/>
      <c r="E203" s="164"/>
      <c r="F203" s="209" t="e">
        <f>'TANK HARDWARE'!H299+P203</f>
        <v>#REF!</v>
      </c>
      <c r="G203" s="167"/>
      <c r="H203" s="167"/>
      <c r="I203" s="167"/>
      <c r="J203" s="167"/>
      <c r="K203" s="167"/>
      <c r="L203" s="168"/>
      <c r="N203" s="45" t="e">
        <f t="shared" si="15"/>
        <v>#REF!</v>
      </c>
      <c r="O203" s="45" t="e">
        <f>VLOOKUP(C203,#REF!,4,FALSE)</f>
        <v>#REF!</v>
      </c>
      <c r="P203" s="45">
        <f t="shared" si="16"/>
        <v>0</v>
      </c>
    </row>
    <row r="204" spans="2:16" s="45" customFormat="1" ht="12.75" hidden="1" customHeight="1" x14ac:dyDescent="0.25">
      <c r="B204" s="45" t="e">
        <f t="shared" si="17"/>
        <v>#REF!</v>
      </c>
      <c r="C204" s="208" t="e">
        <f>'TANK HARDWARE'!#REF!</f>
        <v>#REF!</v>
      </c>
      <c r="D204" s="165"/>
      <c r="E204" s="164"/>
      <c r="F204" s="209" t="e">
        <f>'TANK HARDWARE'!H300+P204</f>
        <v>#REF!</v>
      </c>
      <c r="G204" s="167"/>
      <c r="H204" s="167"/>
      <c r="I204" s="167"/>
      <c r="J204" s="167"/>
      <c r="K204" s="167"/>
      <c r="L204" s="168"/>
      <c r="N204" s="45" t="e">
        <f t="shared" si="15"/>
        <v>#REF!</v>
      </c>
      <c r="O204" s="45" t="e">
        <f>VLOOKUP(C204,#REF!,4,FALSE)</f>
        <v>#REF!</v>
      </c>
      <c r="P204" s="45">
        <f t="shared" si="16"/>
        <v>0</v>
      </c>
    </row>
    <row r="205" spans="2:16" s="45" customFormat="1" ht="12.75" hidden="1" customHeight="1" x14ac:dyDescent="0.25">
      <c r="B205" s="45" t="e">
        <f t="shared" si="17"/>
        <v>#REF!</v>
      </c>
      <c r="C205" s="208" t="e">
        <f>'TANK HARDWARE'!#REF!</f>
        <v>#REF!</v>
      </c>
      <c r="D205" s="165"/>
      <c r="E205" s="164"/>
      <c r="F205" s="209" t="e">
        <f>'TANK HARDWARE'!H301+P205</f>
        <v>#REF!</v>
      </c>
      <c r="G205" s="167"/>
      <c r="H205" s="167"/>
      <c r="I205" s="167"/>
      <c r="J205" s="167"/>
      <c r="K205" s="167"/>
      <c r="L205" s="168"/>
      <c r="N205" s="45" t="e">
        <f t="shared" si="15"/>
        <v>#REF!</v>
      </c>
      <c r="O205" s="45" t="e">
        <f>VLOOKUP(C205,#REF!,4,FALSE)</f>
        <v>#REF!</v>
      </c>
      <c r="P205" s="45">
        <f t="shared" si="16"/>
        <v>0</v>
      </c>
    </row>
    <row r="206" spans="2:16" s="45" customFormat="1" ht="12.75" hidden="1" customHeight="1" x14ac:dyDescent="0.25">
      <c r="B206" s="45" t="e">
        <f t="shared" si="17"/>
        <v>#REF!</v>
      </c>
      <c r="C206" s="208" t="e">
        <f>'TANK HARDWARE'!#REF!</f>
        <v>#REF!</v>
      </c>
      <c r="D206" s="165"/>
      <c r="E206" s="164"/>
      <c r="F206" s="209" t="e">
        <f>'TANK HARDWARE'!H302+P206</f>
        <v>#REF!</v>
      </c>
      <c r="G206" s="167"/>
      <c r="H206" s="167"/>
      <c r="I206" s="167"/>
      <c r="J206" s="167"/>
      <c r="K206" s="167"/>
      <c r="L206" s="168"/>
      <c r="N206" s="45" t="e">
        <f t="shared" si="15"/>
        <v>#REF!</v>
      </c>
      <c r="O206" s="45" t="e">
        <f>VLOOKUP(C206,#REF!,4,FALSE)</f>
        <v>#REF!</v>
      </c>
      <c r="P206" s="45">
        <f t="shared" si="16"/>
        <v>0</v>
      </c>
    </row>
    <row r="207" spans="2:16" s="45" customFormat="1" ht="12.75" hidden="1" customHeight="1" x14ac:dyDescent="0.25">
      <c r="B207" s="45" t="e">
        <f t="shared" si="17"/>
        <v>#REF!</v>
      </c>
      <c r="C207" s="208" t="e">
        <f>'TANK HARDWARE'!#REF!</f>
        <v>#REF!</v>
      </c>
      <c r="D207" s="165"/>
      <c r="E207" s="164"/>
      <c r="F207" s="209" t="e">
        <f>'TANK HARDWARE'!H303+P207</f>
        <v>#REF!</v>
      </c>
      <c r="G207" s="167"/>
      <c r="H207" s="167"/>
      <c r="I207" s="167"/>
      <c r="J207" s="167"/>
      <c r="K207" s="167"/>
      <c r="L207" s="168"/>
      <c r="N207" s="45" t="e">
        <f t="shared" si="15"/>
        <v>#REF!</v>
      </c>
      <c r="O207" s="45" t="e">
        <f>VLOOKUP(C207,#REF!,4,FALSE)</f>
        <v>#REF!</v>
      </c>
      <c r="P207" s="45">
        <f t="shared" si="16"/>
        <v>0</v>
      </c>
    </row>
    <row r="208" spans="2:16" s="45" customFormat="1" ht="12.75" hidden="1" customHeight="1" x14ac:dyDescent="0.25">
      <c r="B208" s="45" t="e">
        <f t="shared" si="17"/>
        <v>#REF!</v>
      </c>
      <c r="C208" s="208" t="e">
        <f>'TANK HARDWARE'!#REF!</f>
        <v>#REF!</v>
      </c>
      <c r="D208" s="165"/>
      <c r="E208" s="164"/>
      <c r="F208" s="209" t="e">
        <f>'TANK HARDWARE'!H304+P208</f>
        <v>#REF!</v>
      </c>
      <c r="G208" s="167"/>
      <c r="H208" s="167"/>
      <c r="I208" s="167"/>
      <c r="J208" s="167"/>
      <c r="K208" s="167"/>
      <c r="L208" s="168"/>
      <c r="N208" s="45" t="e">
        <f t="shared" si="15"/>
        <v>#REF!</v>
      </c>
      <c r="O208" s="45" t="e">
        <f>VLOOKUP(C208,#REF!,4,FALSE)</f>
        <v>#REF!</v>
      </c>
      <c r="P208" s="45">
        <f t="shared" si="16"/>
        <v>0</v>
      </c>
    </row>
    <row r="209" spans="2:16" s="45" customFormat="1" ht="12.75" hidden="1" customHeight="1" x14ac:dyDescent="0.25">
      <c r="B209" s="45" t="e">
        <f t="shared" si="17"/>
        <v>#REF!</v>
      </c>
      <c r="C209" s="208" t="e">
        <f>'TANK HARDWARE'!#REF!</f>
        <v>#REF!</v>
      </c>
      <c r="D209" s="165"/>
      <c r="E209" s="164"/>
      <c r="F209" s="209" t="e">
        <f>'TANK HARDWARE'!H305+P209</f>
        <v>#REF!</v>
      </c>
      <c r="G209" s="167"/>
      <c r="H209" s="167"/>
      <c r="I209" s="167"/>
      <c r="J209" s="167"/>
      <c r="K209" s="167"/>
      <c r="L209" s="168"/>
      <c r="N209" s="45" t="e">
        <f t="shared" si="15"/>
        <v>#REF!</v>
      </c>
      <c r="O209" s="45" t="e">
        <f>VLOOKUP(C209,#REF!,4,FALSE)</f>
        <v>#REF!</v>
      </c>
      <c r="P209" s="45">
        <f t="shared" si="16"/>
        <v>0</v>
      </c>
    </row>
    <row r="210" spans="2:16" s="45" customFormat="1" ht="12.95" customHeight="1" x14ac:dyDescent="0.25">
      <c r="B210" s="45" t="e">
        <f t="shared" si="17"/>
        <v>#REF!</v>
      </c>
      <c r="C210" s="208" t="e">
        <f>'TANK HARDWARE'!#REF!</f>
        <v>#REF!</v>
      </c>
      <c r="D210" s="165"/>
      <c r="E210" s="164"/>
      <c r="F210" s="209" t="e">
        <f>'TANK HARDWARE'!H306+P210</f>
        <v>#REF!</v>
      </c>
      <c r="G210" s="167"/>
      <c r="H210" s="167"/>
      <c r="I210" s="167"/>
      <c r="J210" s="167"/>
      <c r="K210" s="167"/>
      <c r="L210" s="168"/>
      <c r="N210" s="45" t="e">
        <f t="shared" si="15"/>
        <v>#REF!</v>
      </c>
      <c r="O210" s="45" t="e">
        <f>VLOOKUP(C210,#REF!,4,FALSE)</f>
        <v>#REF!</v>
      </c>
      <c r="P210" s="45">
        <f t="shared" si="16"/>
        <v>0</v>
      </c>
    </row>
    <row r="211" spans="2:16" s="45" customFormat="1" ht="12.75" hidden="1" customHeight="1" x14ac:dyDescent="0.25">
      <c r="B211" s="45" t="e">
        <f t="shared" si="17"/>
        <v>#REF!</v>
      </c>
      <c r="C211" s="208" t="e">
        <f>'TANK HARDWARE'!#REF!</f>
        <v>#REF!</v>
      </c>
      <c r="D211" s="165"/>
      <c r="E211" s="164"/>
      <c r="F211" s="209" t="e">
        <f>'TANK HARDWARE'!H307+P211</f>
        <v>#REF!</v>
      </c>
      <c r="G211" s="167"/>
      <c r="H211" s="167"/>
      <c r="I211" s="167"/>
      <c r="J211" s="167"/>
      <c r="K211" s="167"/>
      <c r="L211" s="168"/>
      <c r="N211" s="45" t="e">
        <f t="shared" si="15"/>
        <v>#REF!</v>
      </c>
      <c r="O211" s="45" t="e">
        <f>VLOOKUP(C211,#REF!,4,FALSE)</f>
        <v>#REF!</v>
      </c>
      <c r="P211" s="45">
        <f t="shared" si="16"/>
        <v>0</v>
      </c>
    </row>
    <row r="212" spans="2:16" s="45" customFormat="1" ht="12.95" customHeight="1" x14ac:dyDescent="0.25">
      <c r="B212" s="45" t="e">
        <f t="shared" si="17"/>
        <v>#REF!</v>
      </c>
      <c r="C212" s="208" t="e">
        <f>'TANK HARDWARE'!#REF!</f>
        <v>#REF!</v>
      </c>
      <c r="D212" s="165"/>
      <c r="E212" s="164"/>
      <c r="F212" s="209" t="e">
        <f>'TANK HARDWARE'!H308+P212</f>
        <v>#REF!</v>
      </c>
      <c r="G212" s="167"/>
      <c r="H212" s="167"/>
      <c r="I212" s="167"/>
      <c r="J212" s="167"/>
      <c r="K212" s="167"/>
      <c r="L212" s="168"/>
      <c r="N212" s="45" t="e">
        <f t="shared" si="15"/>
        <v>#REF!</v>
      </c>
      <c r="O212" s="45" t="e">
        <f>VLOOKUP(C212,#REF!,4,FALSE)</f>
        <v>#REF!</v>
      </c>
      <c r="P212" s="45">
        <f t="shared" si="16"/>
        <v>0</v>
      </c>
    </row>
    <row r="213" spans="2:16" s="45" customFormat="1" ht="12.75" hidden="1" customHeight="1" x14ac:dyDescent="0.25">
      <c r="B213" s="45" t="e">
        <f t="shared" si="17"/>
        <v>#REF!</v>
      </c>
      <c r="C213" s="208" t="e">
        <f>'TANK HARDWARE'!#REF!</f>
        <v>#REF!</v>
      </c>
      <c r="D213" s="165"/>
      <c r="E213" s="164"/>
      <c r="F213" s="209" t="e">
        <f>'TANK HARDWARE'!H309+P213</f>
        <v>#REF!</v>
      </c>
      <c r="G213" s="167"/>
      <c r="H213" s="167"/>
      <c r="I213" s="167"/>
      <c r="J213" s="167"/>
      <c r="K213" s="167"/>
      <c r="L213" s="168"/>
      <c r="N213" s="45" t="e">
        <f t="shared" si="15"/>
        <v>#REF!</v>
      </c>
      <c r="O213" s="45" t="e">
        <f>VLOOKUP(C213,#REF!,4,FALSE)</f>
        <v>#REF!</v>
      </c>
      <c r="P213" s="45">
        <f t="shared" si="16"/>
        <v>0</v>
      </c>
    </row>
    <row r="214" spans="2:16" s="45" customFormat="1" ht="12.75" hidden="1" customHeight="1" x14ac:dyDescent="0.25">
      <c r="B214" s="45" t="e">
        <f t="shared" si="17"/>
        <v>#REF!</v>
      </c>
      <c r="C214" s="208" t="e">
        <f>'TANK HARDWARE'!#REF!</f>
        <v>#REF!</v>
      </c>
      <c r="D214" s="165"/>
      <c r="E214" s="164"/>
      <c r="F214" s="209" t="e">
        <f>'TANK HARDWARE'!H310+P214</f>
        <v>#REF!</v>
      </c>
      <c r="G214" s="167"/>
      <c r="H214" s="167"/>
      <c r="I214" s="167"/>
      <c r="J214" s="167"/>
      <c r="K214" s="167"/>
      <c r="L214" s="168"/>
      <c r="N214" s="45" t="e">
        <f t="shared" si="15"/>
        <v>#REF!</v>
      </c>
      <c r="O214" s="45" t="e">
        <f>VLOOKUP(C214,#REF!,4,FALSE)</f>
        <v>#REF!</v>
      </c>
      <c r="P214" s="45">
        <f t="shared" si="16"/>
        <v>0</v>
      </c>
    </row>
    <row r="215" spans="2:16" s="45" customFormat="1" ht="12.95" customHeight="1" x14ac:dyDescent="0.25">
      <c r="B215" s="45" t="e">
        <f t="shared" si="17"/>
        <v>#REF!</v>
      </c>
      <c r="C215" s="208" t="e">
        <f>'TANK HARDWARE'!#REF!</f>
        <v>#REF!</v>
      </c>
      <c r="D215" s="165"/>
      <c r="E215" s="164"/>
      <c r="F215" s="209" t="e">
        <f>'TANK HARDWARE'!H311+P215</f>
        <v>#REF!</v>
      </c>
      <c r="G215" s="167"/>
      <c r="H215" s="167"/>
      <c r="I215" s="167"/>
      <c r="J215" s="167"/>
      <c r="K215" s="167"/>
      <c r="L215" s="168"/>
      <c r="N215" s="45" t="e">
        <f t="shared" si="15"/>
        <v>#REF!</v>
      </c>
      <c r="O215" s="45" t="e">
        <f>VLOOKUP(C215,#REF!,4,FALSE)</f>
        <v>#REF!</v>
      </c>
      <c r="P215" s="45">
        <f t="shared" si="16"/>
        <v>0</v>
      </c>
    </row>
    <row r="216" spans="2:16" s="45" customFormat="1" ht="12.75" hidden="1" customHeight="1" x14ac:dyDescent="0.25">
      <c r="B216" s="45" t="e">
        <f t="shared" si="17"/>
        <v>#REF!</v>
      </c>
      <c r="C216" s="208" t="e">
        <f>'TANK HARDWARE'!#REF!</f>
        <v>#REF!</v>
      </c>
      <c r="D216" s="165"/>
      <c r="E216" s="164"/>
      <c r="F216" s="209" t="e">
        <f>'TANK HARDWARE'!H312+P216</f>
        <v>#REF!</v>
      </c>
      <c r="G216" s="167"/>
      <c r="H216" s="167"/>
      <c r="I216" s="167"/>
      <c r="J216" s="167"/>
      <c r="K216" s="167"/>
      <c r="L216" s="168"/>
      <c r="N216" s="45" t="e">
        <f t="shared" si="15"/>
        <v>#REF!</v>
      </c>
      <c r="O216" s="45" t="e">
        <f>VLOOKUP(C216,#REF!,4,FALSE)</f>
        <v>#REF!</v>
      </c>
      <c r="P216" s="45">
        <f t="shared" si="16"/>
        <v>0</v>
      </c>
    </row>
    <row r="217" spans="2:16" s="45" customFormat="1" ht="12.75" customHeight="1" x14ac:dyDescent="0.25">
      <c r="B217" s="45" t="e">
        <f t="shared" si="17"/>
        <v>#REF!</v>
      </c>
      <c r="C217" s="208" t="e">
        <f>'TANK HARDWARE'!#REF!</f>
        <v>#REF!</v>
      </c>
      <c r="D217" s="165"/>
      <c r="E217" s="164"/>
      <c r="F217" s="209" t="e">
        <f>'TANK HARDWARE'!H313+P217</f>
        <v>#REF!</v>
      </c>
      <c r="G217" s="167"/>
      <c r="H217" s="167"/>
      <c r="I217" s="167"/>
      <c r="J217" s="167"/>
      <c r="K217" s="167"/>
      <c r="L217" s="168"/>
      <c r="N217" s="45" t="e">
        <f t="shared" si="15"/>
        <v>#REF!</v>
      </c>
      <c r="O217" s="45" t="e">
        <f>VLOOKUP(C217,#REF!,4,FALSE)</f>
        <v>#REF!</v>
      </c>
      <c r="P217" s="45">
        <f t="shared" si="16"/>
        <v>0</v>
      </c>
    </row>
    <row r="218" spans="2:16" s="45" customFormat="1" ht="12.75" hidden="1" customHeight="1" x14ac:dyDescent="0.25">
      <c r="B218" s="45" t="e">
        <f t="shared" si="17"/>
        <v>#REF!</v>
      </c>
      <c r="C218" s="208" t="e">
        <f>'TANK HARDWARE'!#REF!</f>
        <v>#REF!</v>
      </c>
      <c r="D218" s="165"/>
      <c r="E218" s="164"/>
      <c r="F218" s="209" t="e">
        <f>'TANK HARDWARE'!H314+P218</f>
        <v>#REF!</v>
      </c>
      <c r="G218" s="167"/>
      <c r="H218" s="167"/>
      <c r="I218" s="167"/>
      <c r="J218" s="167"/>
      <c r="K218" s="167"/>
      <c r="L218" s="168"/>
      <c r="N218" s="45" t="e">
        <f t="shared" si="15"/>
        <v>#REF!</v>
      </c>
      <c r="O218" s="45" t="e">
        <f>VLOOKUP(C218,#REF!,4,FALSE)</f>
        <v>#REF!</v>
      </c>
      <c r="P218" s="45">
        <f t="shared" si="16"/>
        <v>0</v>
      </c>
    </row>
    <row r="219" spans="2:16" s="45" customFormat="1" ht="12.75" hidden="1" customHeight="1" x14ac:dyDescent="0.25">
      <c r="B219" s="45" t="e">
        <f t="shared" si="17"/>
        <v>#REF!</v>
      </c>
      <c r="C219" s="208" t="e">
        <f>'TANK HARDWARE'!#REF!</f>
        <v>#REF!</v>
      </c>
      <c r="D219" s="165"/>
      <c r="E219" s="164"/>
      <c r="F219" s="209" t="e">
        <f>'TANK HARDWARE'!H315+P219</f>
        <v>#REF!</v>
      </c>
      <c r="G219" s="167"/>
      <c r="H219" s="167"/>
      <c r="I219" s="167"/>
      <c r="J219" s="167"/>
      <c r="K219" s="167"/>
      <c r="L219" s="168"/>
      <c r="N219" s="45" t="e">
        <f t="shared" si="15"/>
        <v>#REF!</v>
      </c>
      <c r="O219" s="45" t="e">
        <f>VLOOKUP(C219,#REF!,4,FALSE)</f>
        <v>#REF!</v>
      </c>
      <c r="P219" s="45">
        <f t="shared" si="16"/>
        <v>0</v>
      </c>
    </row>
    <row r="220" spans="2:16" s="45" customFormat="1" ht="12.75" hidden="1" customHeight="1" x14ac:dyDescent="0.25">
      <c r="B220" s="45" t="e">
        <f t="shared" si="17"/>
        <v>#REF!</v>
      </c>
      <c r="C220" s="208" t="e">
        <f>'TANK HARDWARE'!#REF!</f>
        <v>#REF!</v>
      </c>
      <c r="D220" s="165"/>
      <c r="E220" s="164"/>
      <c r="F220" s="209" t="e">
        <f>'TANK HARDWARE'!H316+P220</f>
        <v>#REF!</v>
      </c>
      <c r="G220" s="167"/>
      <c r="H220" s="167"/>
      <c r="I220" s="167"/>
      <c r="J220" s="167"/>
      <c r="K220" s="167"/>
      <c r="L220" s="168"/>
      <c r="N220" s="45" t="e">
        <f t="shared" si="15"/>
        <v>#REF!</v>
      </c>
      <c r="O220" s="45" t="e">
        <f>VLOOKUP(C220,#REF!,4,FALSE)</f>
        <v>#REF!</v>
      </c>
      <c r="P220" s="45">
        <f t="shared" si="16"/>
        <v>0</v>
      </c>
    </row>
    <row r="221" spans="2:16" s="45" customFormat="1" ht="12.75" hidden="1" customHeight="1" x14ac:dyDescent="0.25">
      <c r="B221" s="45" t="e">
        <f t="shared" si="17"/>
        <v>#REF!</v>
      </c>
      <c r="C221" s="208" t="e">
        <f>'TANK HARDWARE'!#REF!</f>
        <v>#REF!</v>
      </c>
      <c r="D221" s="165"/>
      <c r="E221" s="164"/>
      <c r="F221" s="209" t="e">
        <f>'TANK HARDWARE'!H317+P221</f>
        <v>#REF!</v>
      </c>
      <c r="G221" s="167"/>
      <c r="H221" s="167"/>
      <c r="I221" s="167"/>
      <c r="J221" s="167"/>
      <c r="K221" s="167"/>
      <c r="L221" s="168"/>
      <c r="N221" s="45" t="e">
        <f t="shared" si="15"/>
        <v>#REF!</v>
      </c>
      <c r="O221" s="45" t="e">
        <f>VLOOKUP(C221,#REF!,4,FALSE)</f>
        <v>#REF!</v>
      </c>
      <c r="P221" s="45">
        <f t="shared" si="16"/>
        <v>0</v>
      </c>
    </row>
    <row r="222" spans="2:16" s="45" customFormat="1" ht="12.75" hidden="1" customHeight="1" x14ac:dyDescent="0.25">
      <c r="B222" s="45" t="e">
        <f t="shared" si="17"/>
        <v>#REF!</v>
      </c>
      <c r="C222" s="208" t="e">
        <f>'TANK HARDWARE'!#REF!</f>
        <v>#REF!</v>
      </c>
      <c r="D222" s="165"/>
      <c r="E222" s="164"/>
      <c r="F222" s="209" t="e">
        <f>'TANK HARDWARE'!H318+P222</f>
        <v>#REF!</v>
      </c>
      <c r="G222" s="167"/>
      <c r="H222" s="167"/>
      <c r="I222" s="167"/>
      <c r="J222" s="167"/>
      <c r="K222" s="167"/>
      <c r="L222" s="168"/>
      <c r="N222" s="45" t="e">
        <f t="shared" si="15"/>
        <v>#REF!</v>
      </c>
      <c r="O222" s="45" t="e">
        <f>VLOOKUP(C222,#REF!,4,FALSE)</f>
        <v>#REF!</v>
      </c>
      <c r="P222" s="45">
        <f t="shared" si="16"/>
        <v>0</v>
      </c>
    </row>
    <row r="223" spans="2:16" s="45" customFormat="1" ht="12.75" hidden="1" customHeight="1" x14ac:dyDescent="0.25">
      <c r="B223" s="45" t="e">
        <f t="shared" si="17"/>
        <v>#REF!</v>
      </c>
      <c r="C223" s="208" t="e">
        <f>'TANK HARDWARE'!#REF!</f>
        <v>#REF!</v>
      </c>
      <c r="D223" s="165"/>
      <c r="E223" s="164"/>
      <c r="F223" s="209" t="e">
        <f>'TANK HARDWARE'!H319+P223</f>
        <v>#REF!</v>
      </c>
      <c r="G223" s="167"/>
      <c r="H223" s="167"/>
      <c r="I223" s="167"/>
      <c r="J223" s="167"/>
      <c r="K223" s="167"/>
      <c r="L223" s="168"/>
      <c r="N223" s="45" t="e">
        <f t="shared" si="15"/>
        <v>#REF!</v>
      </c>
      <c r="O223" s="45" t="e">
        <f>VLOOKUP(C223,#REF!,4,FALSE)</f>
        <v>#REF!</v>
      </c>
      <c r="P223" s="45">
        <f t="shared" si="16"/>
        <v>0</v>
      </c>
    </row>
    <row r="224" spans="2:16" s="45" customFormat="1" ht="12.75" hidden="1" customHeight="1" x14ac:dyDescent="0.25">
      <c r="B224" s="45" t="e">
        <f t="shared" si="17"/>
        <v>#REF!</v>
      </c>
      <c r="C224" s="208" t="e">
        <f>'TANK HARDWARE'!#REF!</f>
        <v>#REF!</v>
      </c>
      <c r="D224" s="165"/>
      <c r="E224" s="164"/>
      <c r="F224" s="209" t="e">
        <f>'TANK HARDWARE'!H320+P224</f>
        <v>#REF!</v>
      </c>
      <c r="G224" s="167"/>
      <c r="H224" s="167"/>
      <c r="I224" s="167"/>
      <c r="J224" s="167"/>
      <c r="K224" s="167"/>
      <c r="L224" s="168"/>
      <c r="N224" s="45" t="e">
        <f t="shared" ref="N224:N255" si="18">F224</f>
        <v>#REF!</v>
      </c>
      <c r="O224" s="45" t="e">
        <f>VLOOKUP(C224,#REF!,4,FALSE)</f>
        <v>#REF!</v>
      </c>
      <c r="P224" s="45">
        <f t="shared" ref="P224:P255" si="19">IFERROR(O224,0)</f>
        <v>0</v>
      </c>
    </row>
    <row r="225" spans="2:16" s="45" customFormat="1" ht="12.75" hidden="1" customHeight="1" x14ac:dyDescent="0.25">
      <c r="B225" s="45" t="e">
        <f t="shared" si="17"/>
        <v>#REF!</v>
      </c>
      <c r="C225" s="208" t="e">
        <f>'TANK HARDWARE'!#REF!</f>
        <v>#REF!</v>
      </c>
      <c r="D225" s="165"/>
      <c r="E225" s="164"/>
      <c r="F225" s="209" t="e">
        <f>'TANK HARDWARE'!H321+P225</f>
        <v>#REF!</v>
      </c>
      <c r="G225" s="167"/>
      <c r="H225" s="167"/>
      <c r="I225" s="167"/>
      <c r="J225" s="167"/>
      <c r="K225" s="167"/>
      <c r="L225" s="168"/>
      <c r="N225" s="45" t="e">
        <f t="shared" si="18"/>
        <v>#REF!</v>
      </c>
      <c r="O225" s="45" t="e">
        <f>VLOOKUP(C225,#REF!,4,FALSE)</f>
        <v>#REF!</v>
      </c>
      <c r="P225" s="45">
        <f t="shared" si="19"/>
        <v>0</v>
      </c>
    </row>
    <row r="226" spans="2:16" s="45" customFormat="1" ht="12.75" hidden="1" customHeight="1" x14ac:dyDescent="0.25">
      <c r="B226" s="45" t="e">
        <f t="shared" si="17"/>
        <v>#REF!</v>
      </c>
      <c r="C226" s="208" t="e">
        <f>'TANK HARDWARE'!#REF!</f>
        <v>#REF!</v>
      </c>
      <c r="D226" s="165"/>
      <c r="E226" s="164"/>
      <c r="F226" s="209" t="e">
        <f>'TANK HARDWARE'!H322+P226</f>
        <v>#REF!</v>
      </c>
      <c r="G226" s="167"/>
      <c r="H226" s="167"/>
      <c r="I226" s="167"/>
      <c r="J226" s="167"/>
      <c r="K226" s="167"/>
      <c r="L226" s="168"/>
      <c r="N226" s="45" t="e">
        <f t="shared" si="18"/>
        <v>#REF!</v>
      </c>
      <c r="O226" s="45" t="e">
        <f>VLOOKUP(C226,#REF!,4,FALSE)</f>
        <v>#REF!</v>
      </c>
      <c r="P226" s="45">
        <f t="shared" si="19"/>
        <v>0</v>
      </c>
    </row>
    <row r="227" spans="2:16" s="45" customFormat="1" ht="12.75" hidden="1" customHeight="1" x14ac:dyDescent="0.25">
      <c r="B227" s="45" t="e">
        <f t="shared" si="17"/>
        <v>#REF!</v>
      </c>
      <c r="C227" s="208" t="e">
        <f>'TANK HARDWARE'!#REF!</f>
        <v>#REF!</v>
      </c>
      <c r="D227" s="165"/>
      <c r="E227" s="164"/>
      <c r="F227" s="209" t="e">
        <f>'TANK HARDWARE'!H323+P227</f>
        <v>#REF!</v>
      </c>
      <c r="G227" s="167"/>
      <c r="H227" s="167"/>
      <c r="I227" s="167"/>
      <c r="J227" s="167"/>
      <c r="K227" s="167"/>
      <c r="L227" s="168"/>
      <c r="N227" s="45" t="e">
        <f t="shared" si="18"/>
        <v>#REF!</v>
      </c>
      <c r="O227" s="45" t="e">
        <f>VLOOKUP(C227,#REF!,4,FALSE)</f>
        <v>#REF!</v>
      </c>
      <c r="P227" s="45">
        <f t="shared" si="19"/>
        <v>0</v>
      </c>
    </row>
    <row r="228" spans="2:16" s="45" customFormat="1" ht="12.75" hidden="1" customHeight="1" x14ac:dyDescent="0.25">
      <c r="B228" s="45" t="e">
        <f t="shared" si="17"/>
        <v>#REF!</v>
      </c>
      <c r="C228" s="208" t="e">
        <f>'TANK HARDWARE'!#REF!</f>
        <v>#REF!</v>
      </c>
      <c r="D228" s="165"/>
      <c r="E228" s="164"/>
      <c r="F228" s="209" t="e">
        <f>'TANK HARDWARE'!H324+P228</f>
        <v>#REF!</v>
      </c>
      <c r="G228" s="167"/>
      <c r="H228" s="167"/>
      <c r="I228" s="167"/>
      <c r="J228" s="167"/>
      <c r="K228" s="167"/>
      <c r="L228" s="168"/>
      <c r="N228" s="45" t="e">
        <f t="shared" si="18"/>
        <v>#REF!</v>
      </c>
      <c r="O228" s="45" t="e">
        <f>VLOOKUP(C228,#REF!,4,FALSE)</f>
        <v>#REF!</v>
      </c>
      <c r="P228" s="45">
        <f t="shared" si="19"/>
        <v>0</v>
      </c>
    </row>
    <row r="229" spans="2:16" s="45" customFormat="1" ht="12.75" hidden="1" customHeight="1" x14ac:dyDescent="0.25">
      <c r="B229" s="45" t="e">
        <f t="shared" si="17"/>
        <v>#REF!</v>
      </c>
      <c r="C229" s="208" t="e">
        <f>'TANK HARDWARE'!#REF!</f>
        <v>#REF!</v>
      </c>
      <c r="D229" s="165"/>
      <c r="E229" s="164"/>
      <c r="F229" s="209" t="e">
        <f>'TANK HARDWARE'!H325+P229</f>
        <v>#REF!</v>
      </c>
      <c r="G229" s="167"/>
      <c r="H229" s="167"/>
      <c r="I229" s="167"/>
      <c r="J229" s="167"/>
      <c r="K229" s="167"/>
      <c r="L229" s="168"/>
      <c r="N229" s="45" t="e">
        <f t="shared" si="18"/>
        <v>#REF!</v>
      </c>
      <c r="O229" s="45" t="e">
        <f>VLOOKUP(C229,#REF!,4,FALSE)</f>
        <v>#REF!</v>
      </c>
      <c r="P229" s="45">
        <f t="shared" si="19"/>
        <v>0</v>
      </c>
    </row>
    <row r="230" spans="2:16" s="45" customFormat="1" ht="12.75" hidden="1" customHeight="1" x14ac:dyDescent="0.25">
      <c r="B230" s="45" t="e">
        <f t="shared" si="17"/>
        <v>#REF!</v>
      </c>
      <c r="C230" s="208" t="e">
        <f>'TANK HARDWARE'!#REF!</f>
        <v>#REF!</v>
      </c>
      <c r="D230" s="165"/>
      <c r="E230" s="164"/>
      <c r="F230" s="209" t="e">
        <f>'TANK HARDWARE'!H326+P230</f>
        <v>#REF!</v>
      </c>
      <c r="G230" s="167"/>
      <c r="H230" s="167"/>
      <c r="I230" s="167"/>
      <c r="J230" s="167"/>
      <c r="K230" s="167"/>
      <c r="L230" s="168"/>
      <c r="N230" s="45" t="e">
        <f t="shared" si="18"/>
        <v>#REF!</v>
      </c>
      <c r="O230" s="45" t="e">
        <f>VLOOKUP(C230,#REF!,4,FALSE)</f>
        <v>#REF!</v>
      </c>
      <c r="P230" s="45">
        <f t="shared" si="19"/>
        <v>0</v>
      </c>
    </row>
    <row r="231" spans="2:16" s="45" customFormat="1" ht="12.75" hidden="1" customHeight="1" x14ac:dyDescent="0.25">
      <c r="B231" s="45" t="e">
        <f t="shared" si="17"/>
        <v>#REF!</v>
      </c>
      <c r="C231" s="208" t="e">
        <f>'TANK HARDWARE'!#REF!</f>
        <v>#REF!</v>
      </c>
      <c r="D231" s="165"/>
      <c r="E231" s="164"/>
      <c r="F231" s="209" t="e">
        <f>'TANK HARDWARE'!H327+P231</f>
        <v>#REF!</v>
      </c>
      <c r="G231" s="167"/>
      <c r="H231" s="167"/>
      <c r="I231" s="167"/>
      <c r="J231" s="167"/>
      <c r="K231" s="167"/>
      <c r="L231" s="168"/>
      <c r="N231" s="45" t="e">
        <f t="shared" si="18"/>
        <v>#REF!</v>
      </c>
      <c r="O231" s="45" t="e">
        <f>VLOOKUP(C231,#REF!,4,FALSE)</f>
        <v>#REF!</v>
      </c>
      <c r="P231" s="45">
        <f t="shared" si="19"/>
        <v>0</v>
      </c>
    </row>
    <row r="232" spans="2:16" s="45" customFormat="1" ht="12.75" hidden="1" customHeight="1" x14ac:dyDescent="0.25">
      <c r="B232" s="45" t="e">
        <f t="shared" si="17"/>
        <v>#REF!</v>
      </c>
      <c r="C232" s="208" t="e">
        <f>'TANK HARDWARE'!#REF!</f>
        <v>#REF!</v>
      </c>
      <c r="D232" s="165"/>
      <c r="E232" s="164"/>
      <c r="F232" s="209" t="e">
        <f>'TANK HARDWARE'!H328+P232</f>
        <v>#REF!</v>
      </c>
      <c r="G232" s="167"/>
      <c r="H232" s="167"/>
      <c r="I232" s="167"/>
      <c r="J232" s="167"/>
      <c r="K232" s="167"/>
      <c r="L232" s="168"/>
      <c r="N232" s="45" t="e">
        <f t="shared" si="18"/>
        <v>#REF!</v>
      </c>
      <c r="O232" s="45" t="e">
        <f>VLOOKUP(C232,#REF!,4,FALSE)</f>
        <v>#REF!</v>
      </c>
      <c r="P232" s="45">
        <f t="shared" si="19"/>
        <v>0</v>
      </c>
    </row>
    <row r="233" spans="2:16" s="45" customFormat="1" ht="12.75" customHeight="1" x14ac:dyDescent="0.25">
      <c r="B233" s="45" t="e">
        <f t="shared" si="17"/>
        <v>#REF!</v>
      </c>
      <c r="C233" s="208" t="e">
        <f>'TANK HARDWARE'!#REF!</f>
        <v>#REF!</v>
      </c>
      <c r="D233" s="165"/>
      <c r="E233" s="164"/>
      <c r="F233" s="209" t="e">
        <f>'TANK HARDWARE'!H329+P233</f>
        <v>#REF!</v>
      </c>
      <c r="G233" s="167"/>
      <c r="H233" s="167"/>
      <c r="I233" s="167"/>
      <c r="J233" s="167"/>
      <c r="K233" s="167"/>
      <c r="L233" s="168"/>
      <c r="N233" s="45" t="e">
        <f t="shared" si="18"/>
        <v>#REF!</v>
      </c>
      <c r="O233" s="45" t="e">
        <f>VLOOKUP(C233,#REF!,4,FALSE)</f>
        <v>#REF!</v>
      </c>
      <c r="P233" s="45">
        <f t="shared" si="19"/>
        <v>0</v>
      </c>
    </row>
    <row r="234" spans="2:16" s="45" customFormat="1" ht="12.75" hidden="1" customHeight="1" x14ac:dyDescent="0.25">
      <c r="B234" s="45" t="e">
        <f t="shared" si="17"/>
        <v>#REF!</v>
      </c>
      <c r="C234" s="208" t="e">
        <f>'TANK HARDWARE'!#REF!</f>
        <v>#REF!</v>
      </c>
      <c r="D234" s="165"/>
      <c r="E234" s="164"/>
      <c r="F234" s="209" t="e">
        <f>'TANK HARDWARE'!H330+P234</f>
        <v>#REF!</v>
      </c>
      <c r="G234" s="167"/>
      <c r="H234" s="167"/>
      <c r="I234" s="167"/>
      <c r="J234" s="167"/>
      <c r="K234" s="167"/>
      <c r="L234" s="168"/>
      <c r="N234" s="45" t="e">
        <f t="shared" si="18"/>
        <v>#REF!</v>
      </c>
      <c r="O234" s="45" t="e">
        <f>VLOOKUP(C234,#REF!,4,FALSE)</f>
        <v>#REF!</v>
      </c>
      <c r="P234" s="45">
        <f t="shared" si="19"/>
        <v>0</v>
      </c>
    </row>
    <row r="235" spans="2:16" s="45" customFormat="1" ht="12.75" hidden="1" customHeight="1" x14ac:dyDescent="0.25">
      <c r="B235" s="45" t="e">
        <f t="shared" si="17"/>
        <v>#REF!</v>
      </c>
      <c r="C235" s="208" t="e">
        <f>'TANK HARDWARE'!#REF!</f>
        <v>#REF!</v>
      </c>
      <c r="D235" s="165"/>
      <c r="E235" s="164"/>
      <c r="F235" s="209" t="e">
        <f>'TANK HARDWARE'!H331+P235</f>
        <v>#REF!</v>
      </c>
      <c r="G235" s="167"/>
      <c r="H235" s="167"/>
      <c r="I235" s="167"/>
      <c r="J235" s="167"/>
      <c r="K235" s="167"/>
      <c r="L235" s="168"/>
      <c r="N235" s="45" t="e">
        <f t="shared" si="18"/>
        <v>#REF!</v>
      </c>
      <c r="O235" s="45" t="e">
        <f>VLOOKUP(C235,#REF!,4,FALSE)</f>
        <v>#REF!</v>
      </c>
      <c r="P235" s="45">
        <f t="shared" si="19"/>
        <v>0</v>
      </c>
    </row>
    <row r="236" spans="2:16" s="45" customFormat="1" ht="12.75" hidden="1" customHeight="1" x14ac:dyDescent="0.25">
      <c r="B236" s="45" t="e">
        <f t="shared" si="17"/>
        <v>#REF!</v>
      </c>
      <c r="C236" s="208" t="e">
        <f>'TANK HARDWARE'!#REF!</f>
        <v>#REF!</v>
      </c>
      <c r="D236" s="165"/>
      <c r="E236" s="164"/>
      <c r="F236" s="209" t="e">
        <f>'TANK HARDWARE'!H332+P236</f>
        <v>#REF!</v>
      </c>
      <c r="G236" s="167"/>
      <c r="H236" s="167"/>
      <c r="I236" s="167"/>
      <c r="J236" s="167"/>
      <c r="K236" s="167"/>
      <c r="L236" s="168"/>
      <c r="N236" s="45" t="e">
        <f t="shared" si="18"/>
        <v>#REF!</v>
      </c>
      <c r="O236" s="45" t="e">
        <f>VLOOKUP(C236,#REF!,4,FALSE)</f>
        <v>#REF!</v>
      </c>
      <c r="P236" s="45">
        <f t="shared" si="19"/>
        <v>0</v>
      </c>
    </row>
    <row r="237" spans="2:16" s="45" customFormat="1" ht="12.75" hidden="1" customHeight="1" x14ac:dyDescent="0.25">
      <c r="B237" s="45" t="e">
        <f t="shared" si="17"/>
        <v>#REF!</v>
      </c>
      <c r="C237" s="208" t="e">
        <f>'TANK HARDWARE'!#REF!</f>
        <v>#REF!</v>
      </c>
      <c r="D237" s="165"/>
      <c r="E237" s="164"/>
      <c r="F237" s="209" t="e">
        <f>'TANK HARDWARE'!H333+P237</f>
        <v>#REF!</v>
      </c>
      <c r="G237" s="167"/>
      <c r="H237" s="167"/>
      <c r="I237" s="167"/>
      <c r="J237" s="167"/>
      <c r="K237" s="167"/>
      <c r="L237" s="168"/>
      <c r="N237" s="45" t="e">
        <f t="shared" si="18"/>
        <v>#REF!</v>
      </c>
      <c r="O237" s="45" t="e">
        <f>VLOOKUP(C237,#REF!,4,FALSE)</f>
        <v>#REF!</v>
      </c>
      <c r="P237" s="45">
        <f t="shared" si="19"/>
        <v>0</v>
      </c>
    </row>
    <row r="238" spans="2:16" s="45" customFormat="1" ht="12.75" hidden="1" customHeight="1" x14ac:dyDescent="0.25">
      <c r="B238" s="45" t="e">
        <f t="shared" si="17"/>
        <v>#REF!</v>
      </c>
      <c r="C238" s="208" t="e">
        <f>'TANK HARDWARE'!#REF!</f>
        <v>#REF!</v>
      </c>
      <c r="D238" s="165"/>
      <c r="E238" s="164"/>
      <c r="F238" s="209" t="e">
        <f>'TANK HARDWARE'!H334+P238</f>
        <v>#REF!</v>
      </c>
      <c r="G238" s="167"/>
      <c r="H238" s="167"/>
      <c r="I238" s="167"/>
      <c r="J238" s="167"/>
      <c r="K238" s="167"/>
      <c r="L238" s="168"/>
      <c r="N238" s="45" t="e">
        <f t="shared" si="18"/>
        <v>#REF!</v>
      </c>
      <c r="O238" s="45" t="e">
        <f>VLOOKUP(C238,#REF!,4,FALSE)</f>
        <v>#REF!</v>
      </c>
      <c r="P238" s="45">
        <f t="shared" si="19"/>
        <v>0</v>
      </c>
    </row>
    <row r="239" spans="2:16" s="45" customFormat="1" ht="12.75" hidden="1" customHeight="1" x14ac:dyDescent="0.25">
      <c r="B239" s="45" t="e">
        <f t="shared" si="17"/>
        <v>#REF!</v>
      </c>
      <c r="C239" s="208" t="e">
        <f>'TANK HARDWARE'!#REF!</f>
        <v>#REF!</v>
      </c>
      <c r="D239" s="165"/>
      <c r="E239" s="164"/>
      <c r="F239" s="209" t="e">
        <f>'TANK HARDWARE'!H335+P239</f>
        <v>#REF!</v>
      </c>
      <c r="G239" s="167"/>
      <c r="H239" s="167"/>
      <c r="I239" s="167"/>
      <c r="J239" s="167"/>
      <c r="K239" s="167"/>
      <c r="L239" s="168"/>
      <c r="N239" s="45" t="e">
        <f t="shared" si="18"/>
        <v>#REF!</v>
      </c>
      <c r="O239" s="45" t="e">
        <f>VLOOKUP(C239,#REF!,4,FALSE)</f>
        <v>#REF!</v>
      </c>
      <c r="P239" s="45">
        <f t="shared" si="19"/>
        <v>0</v>
      </c>
    </row>
    <row r="240" spans="2:16" s="45" customFormat="1" ht="12.75" hidden="1" customHeight="1" x14ac:dyDescent="0.25">
      <c r="B240" s="45" t="e">
        <f t="shared" si="17"/>
        <v>#REF!</v>
      </c>
      <c r="C240" s="208" t="e">
        <f>'TANK HARDWARE'!#REF!</f>
        <v>#REF!</v>
      </c>
      <c r="D240" s="165"/>
      <c r="E240" s="164"/>
      <c r="F240" s="209" t="e">
        <f>'TANK HARDWARE'!H336+P240</f>
        <v>#REF!</v>
      </c>
      <c r="G240" s="167"/>
      <c r="H240" s="167"/>
      <c r="I240" s="167"/>
      <c r="J240" s="167"/>
      <c r="K240" s="167"/>
      <c r="L240" s="168"/>
      <c r="N240" s="45" t="e">
        <f t="shared" si="18"/>
        <v>#REF!</v>
      </c>
      <c r="O240" s="45" t="e">
        <f>VLOOKUP(C240,#REF!,4,FALSE)</f>
        <v>#REF!</v>
      </c>
      <c r="P240" s="45">
        <f t="shared" si="19"/>
        <v>0</v>
      </c>
    </row>
    <row r="241" spans="2:16" s="45" customFormat="1" ht="12.75" hidden="1" customHeight="1" x14ac:dyDescent="0.25">
      <c r="B241" s="45" t="e">
        <f t="shared" si="17"/>
        <v>#REF!</v>
      </c>
      <c r="C241" s="208" t="e">
        <f>'TANK HARDWARE'!#REF!</f>
        <v>#REF!</v>
      </c>
      <c r="D241" s="165"/>
      <c r="E241" s="164"/>
      <c r="F241" s="209" t="e">
        <f>'TANK HARDWARE'!H337+P241</f>
        <v>#REF!</v>
      </c>
      <c r="G241" s="167"/>
      <c r="H241" s="167"/>
      <c r="I241" s="167"/>
      <c r="J241" s="167"/>
      <c r="K241" s="167"/>
      <c r="L241" s="168"/>
      <c r="N241" s="45" t="e">
        <f t="shared" si="18"/>
        <v>#REF!</v>
      </c>
      <c r="O241" s="45" t="e">
        <f>VLOOKUP(C241,#REF!,4,FALSE)</f>
        <v>#REF!</v>
      </c>
      <c r="P241" s="45">
        <f t="shared" si="19"/>
        <v>0</v>
      </c>
    </row>
    <row r="242" spans="2:16" s="45" customFormat="1" ht="12.75" hidden="1" customHeight="1" x14ac:dyDescent="0.25">
      <c r="B242" s="45" t="e">
        <f t="shared" si="17"/>
        <v>#REF!</v>
      </c>
      <c r="C242" s="208" t="e">
        <f>'TANK HARDWARE'!#REF!</f>
        <v>#REF!</v>
      </c>
      <c r="D242" s="165"/>
      <c r="E242" s="164"/>
      <c r="F242" s="209" t="e">
        <f>'TANK HARDWARE'!H338+P242</f>
        <v>#REF!</v>
      </c>
      <c r="G242" s="167"/>
      <c r="H242" s="167"/>
      <c r="I242" s="167"/>
      <c r="J242" s="167"/>
      <c r="K242" s="167"/>
      <c r="L242" s="168"/>
      <c r="N242" s="45" t="e">
        <f t="shared" si="18"/>
        <v>#REF!</v>
      </c>
      <c r="O242" s="45" t="e">
        <f>VLOOKUP(C242,#REF!,4,FALSE)</f>
        <v>#REF!</v>
      </c>
      <c r="P242" s="45">
        <f t="shared" si="19"/>
        <v>0</v>
      </c>
    </row>
    <row r="243" spans="2:16" s="45" customFormat="1" ht="12.75" hidden="1" customHeight="1" x14ac:dyDescent="0.25">
      <c r="B243" s="45" t="e">
        <f t="shared" si="17"/>
        <v>#REF!</v>
      </c>
      <c r="C243" s="208" t="e">
        <f>'TANK HARDWARE'!#REF!</f>
        <v>#REF!</v>
      </c>
      <c r="D243" s="165"/>
      <c r="E243" s="164"/>
      <c r="F243" s="209" t="e">
        <f>'TANK HARDWARE'!H339+P243</f>
        <v>#REF!</v>
      </c>
      <c r="G243" s="167"/>
      <c r="H243" s="167"/>
      <c r="I243" s="167"/>
      <c r="J243" s="167"/>
      <c r="K243" s="167"/>
      <c r="L243" s="168"/>
      <c r="N243" s="45" t="e">
        <f t="shared" si="18"/>
        <v>#REF!</v>
      </c>
      <c r="O243" s="45" t="e">
        <f>VLOOKUP(C243,#REF!,4,FALSE)</f>
        <v>#REF!</v>
      </c>
      <c r="P243" s="45">
        <f t="shared" si="19"/>
        <v>0</v>
      </c>
    </row>
    <row r="244" spans="2:16" s="45" customFormat="1" ht="12.75" hidden="1" customHeight="1" x14ac:dyDescent="0.25">
      <c r="B244" s="45" t="e">
        <f t="shared" si="17"/>
        <v>#REF!</v>
      </c>
      <c r="C244" s="208" t="e">
        <f>'TANK HARDWARE'!#REF!</f>
        <v>#REF!</v>
      </c>
      <c r="D244" s="165"/>
      <c r="E244" s="164"/>
      <c r="F244" s="209" t="e">
        <f>'TANK HARDWARE'!H340+P244</f>
        <v>#REF!</v>
      </c>
      <c r="G244" s="167"/>
      <c r="H244" s="167"/>
      <c r="I244" s="167"/>
      <c r="J244" s="167"/>
      <c r="K244" s="167"/>
      <c r="L244" s="168"/>
      <c r="N244" s="45" t="e">
        <f t="shared" si="18"/>
        <v>#REF!</v>
      </c>
      <c r="O244" s="45" t="e">
        <f>VLOOKUP(C244,#REF!,4,FALSE)</f>
        <v>#REF!</v>
      </c>
      <c r="P244" s="45">
        <f t="shared" si="19"/>
        <v>0</v>
      </c>
    </row>
    <row r="245" spans="2:16" s="45" customFormat="1" ht="12.75" hidden="1" customHeight="1" x14ac:dyDescent="0.25">
      <c r="B245" s="45" t="e">
        <f t="shared" si="17"/>
        <v>#REF!</v>
      </c>
      <c r="C245" s="208" t="e">
        <f>'TANK HARDWARE'!#REF!</f>
        <v>#REF!</v>
      </c>
      <c r="D245" s="165"/>
      <c r="E245" s="164"/>
      <c r="F245" s="209" t="e">
        <f>'TANK HARDWARE'!H341+P245</f>
        <v>#REF!</v>
      </c>
      <c r="G245" s="167"/>
      <c r="H245" s="167"/>
      <c r="I245" s="167"/>
      <c r="J245" s="167"/>
      <c r="K245" s="167"/>
      <c r="L245" s="168"/>
      <c r="N245" s="45" t="e">
        <f t="shared" si="18"/>
        <v>#REF!</v>
      </c>
      <c r="O245" s="45" t="e">
        <f>VLOOKUP(C245,#REF!,4,FALSE)</f>
        <v>#REF!</v>
      </c>
      <c r="P245" s="45">
        <f t="shared" si="19"/>
        <v>0</v>
      </c>
    </row>
    <row r="246" spans="2:16" s="45" customFormat="1" ht="12.75" hidden="1" customHeight="1" x14ac:dyDescent="0.25">
      <c r="B246" s="45" t="e">
        <f t="shared" si="17"/>
        <v>#REF!</v>
      </c>
      <c r="C246" s="208" t="e">
        <f>'TANK HARDWARE'!#REF!</f>
        <v>#REF!</v>
      </c>
      <c r="D246" s="165"/>
      <c r="E246" s="164"/>
      <c r="F246" s="209" t="e">
        <f>'TANK HARDWARE'!H342+P246</f>
        <v>#REF!</v>
      </c>
      <c r="G246" s="167"/>
      <c r="H246" s="167"/>
      <c r="I246" s="167"/>
      <c r="J246" s="167"/>
      <c r="K246" s="167"/>
      <c r="L246" s="168"/>
      <c r="N246" s="45" t="e">
        <f t="shared" si="18"/>
        <v>#REF!</v>
      </c>
      <c r="O246" s="45" t="e">
        <f>VLOOKUP(C246,#REF!,4,FALSE)</f>
        <v>#REF!</v>
      </c>
      <c r="P246" s="45">
        <f t="shared" si="19"/>
        <v>0</v>
      </c>
    </row>
    <row r="247" spans="2:16" s="45" customFormat="1" ht="12.75" customHeight="1" x14ac:dyDescent="0.25">
      <c r="B247" s="45" t="e">
        <f t="shared" si="17"/>
        <v>#REF!</v>
      </c>
      <c r="C247" s="208" t="e">
        <f>'TANK HARDWARE'!#REF!</f>
        <v>#REF!</v>
      </c>
      <c r="D247" s="165"/>
      <c r="E247" s="164"/>
      <c r="F247" s="209" t="e">
        <f>'TANK HARDWARE'!H343+P247</f>
        <v>#REF!</v>
      </c>
      <c r="G247" s="167"/>
      <c r="H247" s="167"/>
      <c r="I247" s="167"/>
      <c r="J247" s="167"/>
      <c r="K247" s="167"/>
      <c r="L247" s="168"/>
      <c r="N247" s="45" t="e">
        <f t="shared" si="18"/>
        <v>#REF!</v>
      </c>
      <c r="O247" s="45" t="e">
        <f>VLOOKUP(C247,#REF!,4,FALSE)</f>
        <v>#REF!</v>
      </c>
      <c r="P247" s="45">
        <f t="shared" si="19"/>
        <v>0</v>
      </c>
    </row>
    <row r="248" spans="2:16" s="45" customFormat="1" ht="12.75" hidden="1" customHeight="1" x14ac:dyDescent="0.25">
      <c r="B248" s="45" t="e">
        <f t="shared" si="17"/>
        <v>#REF!</v>
      </c>
      <c r="C248" s="208" t="e">
        <f>'TANK HARDWARE'!#REF!</f>
        <v>#REF!</v>
      </c>
      <c r="D248" s="165"/>
      <c r="E248" s="164"/>
      <c r="F248" s="209" t="e">
        <f>'TANK HARDWARE'!H344+P248</f>
        <v>#REF!</v>
      </c>
      <c r="G248" s="167"/>
      <c r="H248" s="167"/>
      <c r="I248" s="167"/>
      <c r="J248" s="167"/>
      <c r="K248" s="167"/>
      <c r="L248" s="168"/>
      <c r="N248" s="45" t="e">
        <f t="shared" si="18"/>
        <v>#REF!</v>
      </c>
      <c r="O248" s="45" t="e">
        <f>VLOOKUP(C248,#REF!,4,FALSE)</f>
        <v>#REF!</v>
      </c>
      <c r="P248" s="45">
        <f t="shared" si="19"/>
        <v>0</v>
      </c>
    </row>
    <row r="249" spans="2:16" s="45" customFormat="1" ht="12.75" hidden="1" customHeight="1" x14ac:dyDescent="0.25">
      <c r="B249" s="45" t="e">
        <f t="shared" si="17"/>
        <v>#REF!</v>
      </c>
      <c r="C249" s="208" t="e">
        <f>'TANK HARDWARE'!#REF!</f>
        <v>#REF!</v>
      </c>
      <c r="D249" s="165"/>
      <c r="E249" s="164"/>
      <c r="F249" s="209" t="e">
        <f>'TANK HARDWARE'!H345+P249</f>
        <v>#REF!</v>
      </c>
      <c r="G249" s="167"/>
      <c r="H249" s="167"/>
      <c r="I249" s="167"/>
      <c r="J249" s="167"/>
      <c r="K249" s="167"/>
      <c r="L249" s="168"/>
      <c r="N249" s="45" t="e">
        <f t="shared" si="18"/>
        <v>#REF!</v>
      </c>
      <c r="O249" s="45" t="e">
        <f>VLOOKUP(C249,#REF!,4,FALSE)</f>
        <v>#REF!</v>
      </c>
      <c r="P249" s="45">
        <f t="shared" si="19"/>
        <v>0</v>
      </c>
    </row>
    <row r="250" spans="2:16" s="45" customFormat="1" ht="12.75" hidden="1" customHeight="1" x14ac:dyDescent="0.25">
      <c r="B250" s="45" t="e">
        <f t="shared" si="17"/>
        <v>#REF!</v>
      </c>
      <c r="C250" s="208" t="e">
        <f>'TANK HARDWARE'!#REF!</f>
        <v>#REF!</v>
      </c>
      <c r="D250" s="165"/>
      <c r="E250" s="164"/>
      <c r="F250" s="209" t="e">
        <f>'TANK HARDWARE'!H346+P250</f>
        <v>#REF!</v>
      </c>
      <c r="G250" s="167"/>
      <c r="H250" s="167"/>
      <c r="I250" s="167"/>
      <c r="J250" s="167"/>
      <c r="K250" s="167"/>
      <c r="L250" s="168"/>
      <c r="N250" s="45" t="e">
        <f t="shared" si="18"/>
        <v>#REF!</v>
      </c>
      <c r="O250" s="45" t="e">
        <f>VLOOKUP(C250,#REF!,4,FALSE)</f>
        <v>#REF!</v>
      </c>
      <c r="P250" s="45">
        <f t="shared" si="19"/>
        <v>0</v>
      </c>
    </row>
    <row r="251" spans="2:16" s="45" customFormat="1" ht="12.75" hidden="1" customHeight="1" x14ac:dyDescent="0.25">
      <c r="B251" s="45" t="e">
        <f t="shared" si="17"/>
        <v>#REF!</v>
      </c>
      <c r="C251" s="208" t="e">
        <f>'TANK HARDWARE'!#REF!</f>
        <v>#REF!</v>
      </c>
      <c r="D251" s="165"/>
      <c r="E251" s="164"/>
      <c r="F251" s="209" t="e">
        <f>'TANK HARDWARE'!H347+P251</f>
        <v>#REF!</v>
      </c>
      <c r="G251" s="167"/>
      <c r="H251" s="167"/>
      <c r="I251" s="167"/>
      <c r="J251" s="167"/>
      <c r="K251" s="167"/>
      <c r="L251" s="168"/>
      <c r="N251" s="45" t="e">
        <f t="shared" si="18"/>
        <v>#REF!</v>
      </c>
      <c r="O251" s="45" t="e">
        <f>VLOOKUP(C251,#REF!,4,FALSE)</f>
        <v>#REF!</v>
      </c>
      <c r="P251" s="45">
        <f t="shared" si="19"/>
        <v>0</v>
      </c>
    </row>
    <row r="252" spans="2:16" s="45" customFormat="1" ht="12.75" hidden="1" customHeight="1" x14ac:dyDescent="0.25">
      <c r="B252" s="45" t="e">
        <f t="shared" si="17"/>
        <v>#REF!</v>
      </c>
      <c r="C252" s="208" t="e">
        <f>'TANK HARDWARE'!#REF!</f>
        <v>#REF!</v>
      </c>
      <c r="D252" s="165"/>
      <c r="E252" s="164"/>
      <c r="F252" s="209" t="e">
        <f>'TANK HARDWARE'!H348+P252</f>
        <v>#REF!</v>
      </c>
      <c r="G252" s="167"/>
      <c r="H252" s="167"/>
      <c r="I252" s="167"/>
      <c r="J252" s="167"/>
      <c r="K252" s="167"/>
      <c r="L252" s="168"/>
      <c r="N252" s="45" t="e">
        <f t="shared" si="18"/>
        <v>#REF!</v>
      </c>
      <c r="O252" s="45" t="e">
        <f>VLOOKUP(C252,#REF!,4,FALSE)</f>
        <v>#REF!</v>
      </c>
      <c r="P252" s="45">
        <f t="shared" si="19"/>
        <v>0</v>
      </c>
    </row>
    <row r="253" spans="2:16" s="45" customFormat="1" ht="12.75" hidden="1" customHeight="1" x14ac:dyDescent="0.25">
      <c r="B253" s="45" t="e">
        <f t="shared" si="17"/>
        <v>#REF!</v>
      </c>
      <c r="C253" s="208" t="e">
        <f>'TANK HARDWARE'!#REF!</f>
        <v>#REF!</v>
      </c>
      <c r="D253" s="165"/>
      <c r="E253" s="164"/>
      <c r="F253" s="209" t="e">
        <f>'TANK HARDWARE'!H349+P253</f>
        <v>#REF!</v>
      </c>
      <c r="G253" s="167"/>
      <c r="H253" s="167"/>
      <c r="I253" s="167"/>
      <c r="J253" s="167"/>
      <c r="K253" s="167"/>
      <c r="L253" s="168"/>
      <c r="N253" s="45" t="e">
        <f t="shared" si="18"/>
        <v>#REF!</v>
      </c>
      <c r="O253" s="45" t="e">
        <f>VLOOKUP(C253,#REF!,4,FALSE)</f>
        <v>#REF!</v>
      </c>
      <c r="P253" s="45">
        <f t="shared" si="19"/>
        <v>0</v>
      </c>
    </row>
    <row r="254" spans="2:16" s="45" customFormat="1" ht="12.75" hidden="1" customHeight="1" x14ac:dyDescent="0.25">
      <c r="B254" s="45" t="e">
        <f t="shared" si="17"/>
        <v>#REF!</v>
      </c>
      <c r="C254" s="208" t="e">
        <f>'TANK HARDWARE'!#REF!</f>
        <v>#REF!</v>
      </c>
      <c r="D254" s="165"/>
      <c r="E254" s="164"/>
      <c r="F254" s="209" t="e">
        <f>'TANK HARDWARE'!H350+P254</f>
        <v>#REF!</v>
      </c>
      <c r="G254" s="167"/>
      <c r="H254" s="167"/>
      <c r="I254" s="167"/>
      <c r="J254" s="167"/>
      <c r="K254" s="167"/>
      <c r="L254" s="168"/>
      <c r="N254" s="45" t="e">
        <f t="shared" si="18"/>
        <v>#REF!</v>
      </c>
      <c r="O254" s="45" t="e">
        <f>VLOOKUP(C254,#REF!,4,FALSE)</f>
        <v>#REF!</v>
      </c>
      <c r="P254" s="45">
        <f t="shared" si="19"/>
        <v>0</v>
      </c>
    </row>
    <row r="255" spans="2:16" s="45" customFormat="1" ht="12.75" hidden="1" customHeight="1" x14ac:dyDescent="0.25">
      <c r="B255" s="45" t="e">
        <f t="shared" si="17"/>
        <v>#REF!</v>
      </c>
      <c r="C255" s="208" t="e">
        <f>'TANK HARDWARE'!#REF!</f>
        <v>#REF!</v>
      </c>
      <c r="D255" s="165"/>
      <c r="E255" s="164"/>
      <c r="F255" s="209" t="e">
        <f>'TANK HARDWARE'!H351+P255</f>
        <v>#REF!</v>
      </c>
      <c r="G255" s="167"/>
      <c r="H255" s="167"/>
      <c r="I255" s="167"/>
      <c r="J255" s="167"/>
      <c r="K255" s="167"/>
      <c r="L255" s="168"/>
      <c r="N255" s="45" t="e">
        <f t="shared" si="18"/>
        <v>#REF!</v>
      </c>
      <c r="O255" s="45" t="e">
        <f>VLOOKUP(C255,#REF!,4,FALSE)</f>
        <v>#REF!</v>
      </c>
      <c r="P255" s="45">
        <f t="shared" si="19"/>
        <v>0</v>
      </c>
    </row>
    <row r="256" spans="2:16" s="45" customFormat="1" ht="12.75" hidden="1" customHeight="1" x14ac:dyDescent="0.25">
      <c r="B256" s="45" t="e">
        <f t="shared" si="17"/>
        <v>#REF!</v>
      </c>
      <c r="C256" s="208" t="e">
        <f>'TANK HARDWARE'!#REF!</f>
        <v>#REF!</v>
      </c>
      <c r="D256" s="165"/>
      <c r="E256" s="164"/>
      <c r="F256" s="209" t="e">
        <f>'TANK HARDWARE'!H352+P256</f>
        <v>#REF!</v>
      </c>
      <c r="G256" s="167"/>
      <c r="H256" s="167"/>
      <c r="I256" s="167"/>
      <c r="J256" s="167"/>
      <c r="K256" s="167"/>
      <c r="L256" s="168"/>
      <c r="N256" s="45" t="e">
        <f t="shared" ref="N256:N287" si="20">F256</f>
        <v>#REF!</v>
      </c>
      <c r="O256" s="45" t="e">
        <f>VLOOKUP(C256,#REF!,4,FALSE)</f>
        <v>#REF!</v>
      </c>
      <c r="P256" s="45">
        <f t="shared" ref="P256:P287" si="21">IFERROR(O256,0)</f>
        <v>0</v>
      </c>
    </row>
    <row r="257" spans="2:16" s="45" customFormat="1" ht="12.75" hidden="1" customHeight="1" x14ac:dyDescent="0.25">
      <c r="B257" s="45" t="e">
        <f t="shared" si="17"/>
        <v>#REF!</v>
      </c>
      <c r="C257" s="208" t="e">
        <f>'TANK HARDWARE'!#REF!</f>
        <v>#REF!</v>
      </c>
      <c r="D257" s="165"/>
      <c r="E257" s="164"/>
      <c r="F257" s="209" t="e">
        <f>'TANK HARDWARE'!H353+P257</f>
        <v>#REF!</v>
      </c>
      <c r="G257" s="167"/>
      <c r="H257" s="167"/>
      <c r="I257" s="167"/>
      <c r="J257" s="167"/>
      <c r="K257" s="167"/>
      <c r="L257" s="168"/>
      <c r="N257" s="45" t="e">
        <f t="shared" si="20"/>
        <v>#REF!</v>
      </c>
      <c r="O257" s="45" t="e">
        <f>VLOOKUP(C257,#REF!,4,FALSE)</f>
        <v>#REF!</v>
      </c>
      <c r="P257" s="45">
        <f t="shared" si="21"/>
        <v>0</v>
      </c>
    </row>
    <row r="258" spans="2:16" s="45" customFormat="1" ht="12.75" hidden="1" customHeight="1" x14ac:dyDescent="0.25">
      <c r="B258" s="45" t="e">
        <f t="shared" si="17"/>
        <v>#REF!</v>
      </c>
      <c r="C258" s="208" t="e">
        <f>'TANK HARDWARE'!#REF!</f>
        <v>#REF!</v>
      </c>
      <c r="D258" s="165"/>
      <c r="E258" s="164"/>
      <c r="F258" s="209" t="e">
        <f>'TANK HARDWARE'!H354+P258</f>
        <v>#REF!</v>
      </c>
      <c r="G258" s="167"/>
      <c r="H258" s="167"/>
      <c r="I258" s="167"/>
      <c r="J258" s="167"/>
      <c r="K258" s="167"/>
      <c r="L258" s="168"/>
      <c r="N258" s="45" t="e">
        <f t="shared" si="20"/>
        <v>#REF!</v>
      </c>
      <c r="O258" s="45" t="e">
        <f>VLOOKUP(C258,#REF!,4,FALSE)</f>
        <v>#REF!</v>
      </c>
      <c r="P258" s="45">
        <f t="shared" si="21"/>
        <v>0</v>
      </c>
    </row>
    <row r="259" spans="2:16" s="45" customFormat="1" ht="12.75" hidden="1" customHeight="1" x14ac:dyDescent="0.25">
      <c r="B259" s="45" t="e">
        <f t="shared" si="17"/>
        <v>#REF!</v>
      </c>
      <c r="C259" s="208" t="e">
        <f>'TANK HARDWARE'!#REF!</f>
        <v>#REF!</v>
      </c>
      <c r="D259" s="165"/>
      <c r="E259" s="164"/>
      <c r="F259" s="209" t="e">
        <f>'TANK HARDWARE'!H355+P259</f>
        <v>#REF!</v>
      </c>
      <c r="G259" s="167"/>
      <c r="H259" s="167"/>
      <c r="I259" s="167"/>
      <c r="J259" s="167"/>
      <c r="K259" s="167"/>
      <c r="L259" s="168"/>
      <c r="N259" s="45" t="e">
        <f t="shared" si="20"/>
        <v>#REF!</v>
      </c>
      <c r="O259" s="45" t="e">
        <f>VLOOKUP(C259,#REF!,4,FALSE)</f>
        <v>#REF!</v>
      </c>
      <c r="P259" s="45">
        <f t="shared" si="21"/>
        <v>0</v>
      </c>
    </row>
    <row r="260" spans="2:16" s="45" customFormat="1" ht="12.75" hidden="1" customHeight="1" x14ac:dyDescent="0.25">
      <c r="B260" s="45" t="e">
        <f t="shared" si="17"/>
        <v>#REF!</v>
      </c>
      <c r="C260" s="208" t="e">
        <f>'TANK HARDWARE'!#REF!</f>
        <v>#REF!</v>
      </c>
      <c r="D260" s="165"/>
      <c r="E260" s="164"/>
      <c r="F260" s="209" t="e">
        <f>'TANK HARDWARE'!H356+P260</f>
        <v>#REF!</v>
      </c>
      <c r="G260" s="167"/>
      <c r="H260" s="167"/>
      <c r="I260" s="167"/>
      <c r="J260" s="167"/>
      <c r="K260" s="167"/>
      <c r="L260" s="168"/>
      <c r="N260" s="45" t="e">
        <f t="shared" si="20"/>
        <v>#REF!</v>
      </c>
      <c r="O260" s="45" t="e">
        <f>VLOOKUP(C260,#REF!,4,FALSE)</f>
        <v>#REF!</v>
      </c>
      <c r="P260" s="45">
        <f t="shared" si="21"/>
        <v>0</v>
      </c>
    </row>
    <row r="261" spans="2:16" s="45" customFormat="1" ht="12.75" hidden="1" customHeight="1" x14ac:dyDescent="0.25">
      <c r="B261" s="45" t="e">
        <f t="shared" si="17"/>
        <v>#REF!</v>
      </c>
      <c r="C261" s="208" t="e">
        <f>'TANK HARDWARE'!#REF!</f>
        <v>#REF!</v>
      </c>
      <c r="D261" s="165"/>
      <c r="E261" s="164"/>
      <c r="F261" s="209" t="e">
        <f>'TANK HARDWARE'!H357+P261</f>
        <v>#REF!</v>
      </c>
      <c r="G261" s="167"/>
      <c r="H261" s="167"/>
      <c r="I261" s="167"/>
      <c r="J261" s="167"/>
      <c r="K261" s="167"/>
      <c r="L261" s="168"/>
      <c r="N261" s="45" t="e">
        <f t="shared" si="20"/>
        <v>#REF!</v>
      </c>
      <c r="O261" s="45" t="e">
        <f>VLOOKUP(C261,#REF!,4,FALSE)</f>
        <v>#REF!</v>
      </c>
      <c r="P261" s="45">
        <f t="shared" si="21"/>
        <v>0</v>
      </c>
    </row>
    <row r="262" spans="2:16" s="45" customFormat="1" ht="12.75" hidden="1" customHeight="1" x14ac:dyDescent="0.25">
      <c r="B262" s="45" t="e">
        <f t="shared" si="17"/>
        <v>#REF!</v>
      </c>
      <c r="C262" s="208" t="e">
        <f>'TANK HARDWARE'!#REF!</f>
        <v>#REF!</v>
      </c>
      <c r="D262" s="165"/>
      <c r="E262" s="164"/>
      <c r="F262" s="209" t="e">
        <f>'TANK HARDWARE'!H358+P262</f>
        <v>#REF!</v>
      </c>
      <c r="G262" s="167"/>
      <c r="H262" s="167"/>
      <c r="I262" s="167"/>
      <c r="J262" s="167"/>
      <c r="K262" s="167"/>
      <c r="L262" s="168"/>
      <c r="N262" s="45" t="e">
        <f t="shared" si="20"/>
        <v>#REF!</v>
      </c>
      <c r="O262" s="45" t="e">
        <f>VLOOKUP(C262,#REF!,4,FALSE)</f>
        <v>#REF!</v>
      </c>
      <c r="P262" s="45">
        <f t="shared" si="21"/>
        <v>0</v>
      </c>
    </row>
    <row r="263" spans="2:16" s="45" customFormat="1" ht="12.75" hidden="1" customHeight="1" x14ac:dyDescent="0.25">
      <c r="B263" s="45" t="e">
        <f t="shared" si="17"/>
        <v>#REF!</v>
      </c>
      <c r="C263" s="208" t="e">
        <f>'TANK HARDWARE'!#REF!</f>
        <v>#REF!</v>
      </c>
      <c r="D263" s="165"/>
      <c r="E263" s="164"/>
      <c r="F263" s="209" t="e">
        <f>'TANK HARDWARE'!H359+P263</f>
        <v>#REF!</v>
      </c>
      <c r="G263" s="167"/>
      <c r="H263" s="167"/>
      <c r="I263" s="167"/>
      <c r="J263" s="167"/>
      <c r="K263" s="167"/>
      <c r="L263" s="168"/>
      <c r="N263" s="45" t="e">
        <f t="shared" si="20"/>
        <v>#REF!</v>
      </c>
      <c r="O263" s="45" t="e">
        <f>VLOOKUP(C263,#REF!,4,FALSE)</f>
        <v>#REF!</v>
      </c>
      <c r="P263" s="45">
        <f t="shared" si="21"/>
        <v>0</v>
      </c>
    </row>
    <row r="264" spans="2:16" s="45" customFormat="1" ht="12.75" hidden="1" customHeight="1" x14ac:dyDescent="0.25">
      <c r="B264" s="45" t="e">
        <f t="shared" si="17"/>
        <v>#REF!</v>
      </c>
      <c r="C264" s="208" t="e">
        <f>'TANK HARDWARE'!#REF!</f>
        <v>#REF!</v>
      </c>
      <c r="D264" s="165"/>
      <c r="E264" s="164"/>
      <c r="F264" s="209" t="e">
        <f>'TANK HARDWARE'!H360+P264</f>
        <v>#REF!</v>
      </c>
      <c r="G264" s="167"/>
      <c r="H264" s="167"/>
      <c r="I264" s="167"/>
      <c r="J264" s="167"/>
      <c r="K264" s="167"/>
      <c r="L264" s="168"/>
      <c r="N264" s="45" t="e">
        <f t="shared" si="20"/>
        <v>#REF!</v>
      </c>
      <c r="O264" s="45" t="e">
        <f>VLOOKUP(C264,#REF!,4,FALSE)</f>
        <v>#REF!</v>
      </c>
      <c r="P264" s="45">
        <f t="shared" si="21"/>
        <v>0</v>
      </c>
    </row>
    <row r="265" spans="2:16" s="45" customFormat="1" ht="12.75" hidden="1" customHeight="1" x14ac:dyDescent="0.25">
      <c r="B265" s="45" t="e">
        <f t="shared" si="17"/>
        <v>#REF!</v>
      </c>
      <c r="C265" s="208" t="e">
        <f>'TANK HARDWARE'!#REF!</f>
        <v>#REF!</v>
      </c>
      <c r="D265" s="165"/>
      <c r="E265" s="164"/>
      <c r="F265" s="209" t="e">
        <f>'TANK HARDWARE'!H361+P265</f>
        <v>#REF!</v>
      </c>
      <c r="G265" s="167"/>
      <c r="H265" s="167"/>
      <c r="I265" s="167"/>
      <c r="J265" s="167"/>
      <c r="K265" s="167"/>
      <c r="L265" s="168"/>
      <c r="N265" s="45" t="e">
        <f t="shared" si="20"/>
        <v>#REF!</v>
      </c>
      <c r="O265" s="45" t="e">
        <f>VLOOKUP(C265,#REF!,4,FALSE)</f>
        <v>#REF!</v>
      </c>
      <c r="P265" s="45">
        <f t="shared" si="21"/>
        <v>0</v>
      </c>
    </row>
    <row r="266" spans="2:16" s="45" customFormat="1" ht="12.75" hidden="1" customHeight="1" x14ac:dyDescent="0.25">
      <c r="B266" s="45" t="e">
        <f t="shared" si="17"/>
        <v>#REF!</v>
      </c>
      <c r="C266" s="208" t="e">
        <f>'TANK HARDWARE'!#REF!</f>
        <v>#REF!</v>
      </c>
      <c r="D266" s="165"/>
      <c r="E266" s="164"/>
      <c r="F266" s="209" t="e">
        <f>'TANK HARDWARE'!H362+P266</f>
        <v>#REF!</v>
      </c>
      <c r="G266" s="167"/>
      <c r="H266" s="167"/>
      <c r="I266" s="167"/>
      <c r="J266" s="167"/>
      <c r="K266" s="167"/>
      <c r="L266" s="168"/>
      <c r="N266" s="45" t="e">
        <f t="shared" si="20"/>
        <v>#REF!</v>
      </c>
      <c r="O266" s="45" t="e">
        <f>VLOOKUP(C266,#REF!,4,FALSE)</f>
        <v>#REF!</v>
      </c>
      <c r="P266" s="45">
        <f t="shared" si="21"/>
        <v>0</v>
      </c>
    </row>
    <row r="267" spans="2:16" s="45" customFormat="1" ht="12.75" hidden="1" customHeight="1" x14ac:dyDescent="0.25">
      <c r="B267" s="45" t="e">
        <f t="shared" ref="B267:B330" si="22">IF(N267=0,0,1)</f>
        <v>#REF!</v>
      </c>
      <c r="C267" s="208" t="e">
        <f>'TANK HARDWARE'!#REF!</f>
        <v>#REF!</v>
      </c>
      <c r="D267" s="165"/>
      <c r="E267" s="164"/>
      <c r="F267" s="209" t="e">
        <f>'TANK HARDWARE'!H363+P267</f>
        <v>#REF!</v>
      </c>
      <c r="G267" s="167"/>
      <c r="H267" s="167"/>
      <c r="I267" s="167"/>
      <c r="J267" s="167"/>
      <c r="K267" s="167"/>
      <c r="L267" s="168"/>
      <c r="N267" s="45" t="e">
        <f t="shared" si="20"/>
        <v>#REF!</v>
      </c>
      <c r="O267" s="45" t="e">
        <f>VLOOKUP(C267,#REF!,4,FALSE)</f>
        <v>#REF!</v>
      </c>
      <c r="P267" s="45">
        <f t="shared" si="21"/>
        <v>0</v>
      </c>
    </row>
    <row r="268" spans="2:16" s="45" customFormat="1" ht="12.75" hidden="1" customHeight="1" x14ac:dyDescent="0.25">
      <c r="B268" s="45" t="e">
        <f t="shared" si="22"/>
        <v>#REF!</v>
      </c>
      <c r="C268" s="208" t="e">
        <f>'TANK HARDWARE'!#REF!</f>
        <v>#REF!</v>
      </c>
      <c r="D268" s="165"/>
      <c r="E268" s="164"/>
      <c r="F268" s="209" t="e">
        <f>'TANK HARDWARE'!H364+P268</f>
        <v>#REF!</v>
      </c>
      <c r="G268" s="167"/>
      <c r="H268" s="167"/>
      <c r="I268" s="167"/>
      <c r="J268" s="167"/>
      <c r="K268" s="167"/>
      <c r="L268" s="168"/>
      <c r="N268" s="45" t="e">
        <f t="shared" si="20"/>
        <v>#REF!</v>
      </c>
      <c r="O268" s="45" t="e">
        <f>VLOOKUP(C268,#REF!,4,FALSE)</f>
        <v>#REF!</v>
      </c>
      <c r="P268" s="45">
        <f t="shared" si="21"/>
        <v>0</v>
      </c>
    </row>
    <row r="269" spans="2:16" s="45" customFormat="1" ht="12.75" hidden="1" customHeight="1" x14ac:dyDescent="0.25">
      <c r="B269" s="45" t="e">
        <f t="shared" si="22"/>
        <v>#REF!</v>
      </c>
      <c r="C269" s="208" t="e">
        <f>'TANK HARDWARE'!#REF!</f>
        <v>#REF!</v>
      </c>
      <c r="D269" s="165"/>
      <c r="E269" s="164"/>
      <c r="F269" s="209" t="e">
        <f>'TANK HARDWARE'!H365+P269</f>
        <v>#REF!</v>
      </c>
      <c r="G269" s="167"/>
      <c r="H269" s="167"/>
      <c r="I269" s="167"/>
      <c r="J269" s="167"/>
      <c r="K269" s="167"/>
      <c r="L269" s="168"/>
      <c r="N269" s="45" t="e">
        <f t="shared" si="20"/>
        <v>#REF!</v>
      </c>
      <c r="O269" s="45" t="e">
        <f>VLOOKUP(C269,#REF!,4,FALSE)</f>
        <v>#REF!</v>
      </c>
      <c r="P269" s="45">
        <f t="shared" si="21"/>
        <v>0</v>
      </c>
    </row>
    <row r="270" spans="2:16" s="45" customFormat="1" ht="12.75" hidden="1" customHeight="1" x14ac:dyDescent="0.25">
      <c r="B270" s="45" t="e">
        <f t="shared" si="22"/>
        <v>#REF!</v>
      </c>
      <c r="C270" s="208" t="e">
        <f>'TANK HARDWARE'!#REF!</f>
        <v>#REF!</v>
      </c>
      <c r="D270" s="165"/>
      <c r="E270" s="164"/>
      <c r="F270" s="209" t="e">
        <f>'TANK HARDWARE'!H366+P270</f>
        <v>#REF!</v>
      </c>
      <c r="G270" s="167"/>
      <c r="H270" s="167"/>
      <c r="I270" s="167"/>
      <c r="J270" s="167"/>
      <c r="K270" s="167"/>
      <c r="L270" s="168"/>
      <c r="N270" s="45" t="e">
        <f t="shared" si="20"/>
        <v>#REF!</v>
      </c>
      <c r="O270" s="45" t="e">
        <f>VLOOKUP(C270,#REF!,4,FALSE)</f>
        <v>#REF!</v>
      </c>
      <c r="P270" s="45">
        <f t="shared" si="21"/>
        <v>0</v>
      </c>
    </row>
    <row r="271" spans="2:16" s="45" customFormat="1" ht="12.75" hidden="1" customHeight="1" x14ac:dyDescent="0.25">
      <c r="B271" s="45" t="e">
        <f t="shared" si="22"/>
        <v>#REF!</v>
      </c>
      <c r="C271" s="208" t="e">
        <f>'TANK HARDWARE'!#REF!</f>
        <v>#REF!</v>
      </c>
      <c r="D271" s="165"/>
      <c r="E271" s="164"/>
      <c r="F271" s="209" t="e">
        <f>'TANK HARDWARE'!H367+P271</f>
        <v>#REF!</v>
      </c>
      <c r="G271" s="167"/>
      <c r="H271" s="167"/>
      <c r="I271" s="167"/>
      <c r="J271" s="167"/>
      <c r="K271" s="167"/>
      <c r="L271" s="168"/>
      <c r="N271" s="45" t="e">
        <f t="shared" si="20"/>
        <v>#REF!</v>
      </c>
      <c r="O271" s="45" t="e">
        <f>VLOOKUP(C271,#REF!,4,FALSE)</f>
        <v>#REF!</v>
      </c>
      <c r="P271" s="45">
        <f t="shared" si="21"/>
        <v>0</v>
      </c>
    </row>
    <row r="272" spans="2:16" s="45" customFormat="1" ht="12.75" hidden="1" customHeight="1" x14ac:dyDescent="0.25">
      <c r="B272" s="45" t="e">
        <f t="shared" si="22"/>
        <v>#REF!</v>
      </c>
      <c r="C272" s="208" t="e">
        <f>'TANK HARDWARE'!#REF!</f>
        <v>#REF!</v>
      </c>
      <c r="D272" s="165"/>
      <c r="E272" s="164"/>
      <c r="F272" s="209" t="e">
        <f>'TANK HARDWARE'!H368+P272</f>
        <v>#REF!</v>
      </c>
      <c r="G272" s="167"/>
      <c r="H272" s="167"/>
      <c r="I272" s="167"/>
      <c r="J272" s="167"/>
      <c r="K272" s="167"/>
      <c r="L272" s="168"/>
      <c r="N272" s="45" t="e">
        <f t="shared" si="20"/>
        <v>#REF!</v>
      </c>
      <c r="O272" s="45" t="e">
        <f>VLOOKUP(C272,#REF!,4,FALSE)</f>
        <v>#REF!</v>
      </c>
      <c r="P272" s="45">
        <f t="shared" si="21"/>
        <v>0</v>
      </c>
    </row>
    <row r="273" spans="2:16" s="45" customFormat="1" ht="12.75" hidden="1" customHeight="1" x14ac:dyDescent="0.25">
      <c r="B273" s="45" t="e">
        <f t="shared" si="22"/>
        <v>#REF!</v>
      </c>
      <c r="C273" s="208" t="e">
        <f>'TANK HARDWARE'!#REF!</f>
        <v>#REF!</v>
      </c>
      <c r="D273" s="165"/>
      <c r="E273" s="164"/>
      <c r="F273" s="209" t="e">
        <f>'TANK HARDWARE'!H369+P273</f>
        <v>#REF!</v>
      </c>
      <c r="G273" s="167"/>
      <c r="H273" s="167"/>
      <c r="I273" s="167"/>
      <c r="J273" s="167"/>
      <c r="K273" s="167"/>
      <c r="L273" s="168"/>
      <c r="N273" s="45" t="e">
        <f t="shared" si="20"/>
        <v>#REF!</v>
      </c>
      <c r="O273" s="45" t="e">
        <f>VLOOKUP(C273,#REF!,4,FALSE)</f>
        <v>#REF!</v>
      </c>
      <c r="P273" s="45">
        <f t="shared" si="21"/>
        <v>0</v>
      </c>
    </row>
    <row r="274" spans="2:16" s="45" customFormat="1" ht="12.75" hidden="1" customHeight="1" x14ac:dyDescent="0.25">
      <c r="B274" s="45" t="e">
        <f t="shared" si="22"/>
        <v>#REF!</v>
      </c>
      <c r="C274" s="208" t="e">
        <f>'TANK HARDWARE'!#REF!</f>
        <v>#REF!</v>
      </c>
      <c r="D274" s="165"/>
      <c r="E274" s="164"/>
      <c r="F274" s="209" t="e">
        <f>'TANK HARDWARE'!H370+P274</f>
        <v>#REF!</v>
      </c>
      <c r="G274" s="167"/>
      <c r="H274" s="167"/>
      <c r="I274" s="167"/>
      <c r="J274" s="167"/>
      <c r="K274" s="167"/>
      <c r="L274" s="168"/>
      <c r="N274" s="45" t="e">
        <f t="shared" si="20"/>
        <v>#REF!</v>
      </c>
      <c r="O274" s="45" t="e">
        <f>VLOOKUP(C274,#REF!,4,FALSE)</f>
        <v>#REF!</v>
      </c>
      <c r="P274" s="45">
        <f t="shared" si="21"/>
        <v>0</v>
      </c>
    </row>
    <row r="275" spans="2:16" s="45" customFormat="1" ht="12.75" hidden="1" customHeight="1" x14ac:dyDescent="0.25">
      <c r="B275" s="45" t="e">
        <f t="shared" si="22"/>
        <v>#REF!</v>
      </c>
      <c r="C275" s="208" t="e">
        <f>'TANK HARDWARE'!#REF!</f>
        <v>#REF!</v>
      </c>
      <c r="D275" s="165"/>
      <c r="E275" s="164"/>
      <c r="F275" s="209" t="e">
        <f>'TANK HARDWARE'!H371+P275</f>
        <v>#REF!</v>
      </c>
      <c r="G275" s="167"/>
      <c r="H275" s="167"/>
      <c r="I275" s="167"/>
      <c r="J275" s="167"/>
      <c r="K275" s="167"/>
      <c r="L275" s="168"/>
      <c r="N275" s="45" t="e">
        <f t="shared" si="20"/>
        <v>#REF!</v>
      </c>
      <c r="O275" s="45" t="e">
        <f>VLOOKUP(C275,#REF!,4,FALSE)</f>
        <v>#REF!</v>
      </c>
      <c r="P275" s="45">
        <f t="shared" si="21"/>
        <v>0</v>
      </c>
    </row>
    <row r="276" spans="2:16" s="45" customFormat="1" ht="12.75" hidden="1" customHeight="1" x14ac:dyDescent="0.25">
      <c r="B276" s="45" t="e">
        <f t="shared" si="22"/>
        <v>#REF!</v>
      </c>
      <c r="C276" s="208" t="e">
        <f>'TANK HARDWARE'!#REF!</f>
        <v>#REF!</v>
      </c>
      <c r="D276" s="165"/>
      <c r="E276" s="164"/>
      <c r="F276" s="209" t="e">
        <f>'TANK HARDWARE'!H372+P276</f>
        <v>#REF!</v>
      </c>
      <c r="G276" s="167"/>
      <c r="H276" s="167"/>
      <c r="I276" s="167"/>
      <c r="J276" s="167"/>
      <c r="K276" s="167"/>
      <c r="L276" s="168"/>
      <c r="N276" s="45" t="e">
        <f t="shared" si="20"/>
        <v>#REF!</v>
      </c>
      <c r="O276" s="45" t="e">
        <f>VLOOKUP(C276,#REF!,4,FALSE)</f>
        <v>#REF!</v>
      </c>
      <c r="P276" s="45">
        <f t="shared" si="21"/>
        <v>0</v>
      </c>
    </row>
    <row r="277" spans="2:16" s="45" customFormat="1" ht="12.75" hidden="1" customHeight="1" x14ac:dyDescent="0.25">
      <c r="B277" s="45" t="e">
        <f t="shared" si="22"/>
        <v>#REF!</v>
      </c>
      <c r="C277" s="208" t="e">
        <f>'TANK HARDWARE'!#REF!</f>
        <v>#REF!</v>
      </c>
      <c r="D277" s="165"/>
      <c r="E277" s="164"/>
      <c r="F277" s="209" t="e">
        <f>'TANK HARDWARE'!H373+P277</f>
        <v>#REF!</v>
      </c>
      <c r="G277" s="167"/>
      <c r="H277" s="167"/>
      <c r="I277" s="167"/>
      <c r="J277" s="167"/>
      <c r="K277" s="167"/>
      <c r="L277" s="168"/>
      <c r="N277" s="45" t="e">
        <f t="shared" si="20"/>
        <v>#REF!</v>
      </c>
      <c r="O277" s="45" t="e">
        <f>VLOOKUP(C277,#REF!,4,FALSE)</f>
        <v>#REF!</v>
      </c>
      <c r="P277" s="45">
        <f t="shared" si="21"/>
        <v>0</v>
      </c>
    </row>
    <row r="278" spans="2:16" s="45" customFormat="1" ht="12.75" hidden="1" customHeight="1" x14ac:dyDescent="0.25">
      <c r="B278" s="45" t="e">
        <f t="shared" si="22"/>
        <v>#REF!</v>
      </c>
      <c r="C278" s="208" t="e">
        <f>'TANK HARDWARE'!#REF!</f>
        <v>#REF!</v>
      </c>
      <c r="D278" s="165"/>
      <c r="E278" s="164"/>
      <c r="F278" s="209" t="e">
        <f>'TANK HARDWARE'!H374+P278</f>
        <v>#REF!</v>
      </c>
      <c r="G278" s="167"/>
      <c r="H278" s="167"/>
      <c r="I278" s="167"/>
      <c r="J278" s="167"/>
      <c r="K278" s="167"/>
      <c r="L278" s="168"/>
      <c r="N278" s="45" t="e">
        <f t="shared" si="20"/>
        <v>#REF!</v>
      </c>
      <c r="O278" s="45" t="e">
        <f>VLOOKUP(C278,#REF!,4,FALSE)</f>
        <v>#REF!</v>
      </c>
      <c r="P278" s="45">
        <f t="shared" si="21"/>
        <v>0</v>
      </c>
    </row>
    <row r="279" spans="2:16" s="45" customFormat="1" ht="12.75" hidden="1" customHeight="1" x14ac:dyDescent="0.25">
      <c r="B279" s="45" t="e">
        <f t="shared" si="22"/>
        <v>#REF!</v>
      </c>
      <c r="C279" s="208" t="e">
        <f>'TANK HARDWARE'!#REF!</f>
        <v>#REF!</v>
      </c>
      <c r="D279" s="165"/>
      <c r="E279" s="164"/>
      <c r="F279" s="209" t="e">
        <f>'TANK HARDWARE'!H375+P279</f>
        <v>#REF!</v>
      </c>
      <c r="G279" s="167"/>
      <c r="H279" s="167"/>
      <c r="I279" s="167"/>
      <c r="J279" s="167"/>
      <c r="K279" s="167"/>
      <c r="L279" s="168"/>
      <c r="N279" s="45" t="e">
        <f t="shared" si="20"/>
        <v>#REF!</v>
      </c>
      <c r="O279" s="45" t="e">
        <f>VLOOKUP(C279,#REF!,4,FALSE)</f>
        <v>#REF!</v>
      </c>
      <c r="P279" s="45">
        <f t="shared" si="21"/>
        <v>0</v>
      </c>
    </row>
    <row r="280" spans="2:16" s="45" customFormat="1" ht="12.75" hidden="1" customHeight="1" x14ac:dyDescent="0.25">
      <c r="B280" s="45" t="e">
        <f t="shared" si="22"/>
        <v>#REF!</v>
      </c>
      <c r="C280" s="208" t="e">
        <f>'TANK HARDWARE'!#REF!</f>
        <v>#REF!</v>
      </c>
      <c r="D280" s="165"/>
      <c r="E280" s="164"/>
      <c r="F280" s="209" t="e">
        <f>'TANK HARDWARE'!H376+P280</f>
        <v>#REF!</v>
      </c>
      <c r="G280" s="167"/>
      <c r="H280" s="167"/>
      <c r="I280" s="167"/>
      <c r="J280" s="167"/>
      <c r="K280" s="167"/>
      <c r="L280" s="168"/>
      <c r="N280" s="45" t="e">
        <f t="shared" si="20"/>
        <v>#REF!</v>
      </c>
      <c r="O280" s="45" t="e">
        <f>VLOOKUP(C280,#REF!,4,FALSE)</f>
        <v>#REF!</v>
      </c>
      <c r="P280" s="45">
        <f t="shared" si="21"/>
        <v>0</v>
      </c>
    </row>
    <row r="281" spans="2:16" s="45" customFormat="1" ht="12.75" hidden="1" customHeight="1" x14ac:dyDescent="0.25">
      <c r="B281" s="45" t="e">
        <f t="shared" si="22"/>
        <v>#REF!</v>
      </c>
      <c r="C281" s="208" t="e">
        <f>'TANK HARDWARE'!#REF!</f>
        <v>#REF!</v>
      </c>
      <c r="D281" s="165"/>
      <c r="E281" s="164"/>
      <c r="F281" s="209" t="e">
        <f>'TANK HARDWARE'!H377+P281</f>
        <v>#REF!</v>
      </c>
      <c r="G281" s="167"/>
      <c r="H281" s="167"/>
      <c r="I281" s="167"/>
      <c r="J281" s="167"/>
      <c r="K281" s="167"/>
      <c r="L281" s="168"/>
      <c r="N281" s="45" t="e">
        <f t="shared" si="20"/>
        <v>#REF!</v>
      </c>
      <c r="O281" s="45" t="e">
        <f>VLOOKUP(C281,#REF!,4,FALSE)</f>
        <v>#REF!</v>
      </c>
      <c r="P281" s="45">
        <f t="shared" si="21"/>
        <v>0</v>
      </c>
    </row>
    <row r="282" spans="2:16" s="45" customFormat="1" ht="12.75" hidden="1" customHeight="1" x14ac:dyDescent="0.25">
      <c r="B282" s="45" t="e">
        <f t="shared" si="22"/>
        <v>#REF!</v>
      </c>
      <c r="C282" s="208" t="e">
        <f>'TANK HARDWARE'!#REF!</f>
        <v>#REF!</v>
      </c>
      <c r="D282" s="165"/>
      <c r="E282" s="164"/>
      <c r="F282" s="209" t="e">
        <f>'TANK HARDWARE'!H378+P282</f>
        <v>#REF!</v>
      </c>
      <c r="G282" s="167"/>
      <c r="H282" s="167"/>
      <c r="I282" s="167"/>
      <c r="J282" s="167"/>
      <c r="K282" s="167"/>
      <c r="L282" s="168"/>
      <c r="N282" s="45" t="e">
        <f t="shared" si="20"/>
        <v>#REF!</v>
      </c>
      <c r="O282" s="45" t="e">
        <f>VLOOKUP(C282,#REF!,4,FALSE)</f>
        <v>#REF!</v>
      </c>
      <c r="P282" s="45">
        <f t="shared" si="21"/>
        <v>0</v>
      </c>
    </row>
    <row r="283" spans="2:16" s="45" customFormat="1" ht="12.75" hidden="1" customHeight="1" x14ac:dyDescent="0.25">
      <c r="B283" s="45" t="e">
        <f t="shared" si="22"/>
        <v>#REF!</v>
      </c>
      <c r="C283" s="208" t="e">
        <f>'TANK HARDWARE'!#REF!</f>
        <v>#REF!</v>
      </c>
      <c r="D283" s="165"/>
      <c r="E283" s="164"/>
      <c r="F283" s="209" t="e">
        <f>'TANK HARDWARE'!H379+P283</f>
        <v>#REF!</v>
      </c>
      <c r="G283" s="167"/>
      <c r="H283" s="167"/>
      <c r="I283" s="167"/>
      <c r="J283" s="167"/>
      <c r="K283" s="167"/>
      <c r="L283" s="168"/>
      <c r="N283" s="45" t="e">
        <f t="shared" si="20"/>
        <v>#REF!</v>
      </c>
      <c r="O283" s="45" t="e">
        <f>VLOOKUP(C283,#REF!,4,FALSE)</f>
        <v>#REF!</v>
      </c>
      <c r="P283" s="45">
        <f t="shared" si="21"/>
        <v>0</v>
      </c>
    </row>
    <row r="284" spans="2:16" s="45" customFormat="1" ht="12.75" hidden="1" customHeight="1" x14ac:dyDescent="0.25">
      <c r="B284" s="45" t="e">
        <f t="shared" si="22"/>
        <v>#REF!</v>
      </c>
      <c r="C284" s="208" t="e">
        <f>'TANK HARDWARE'!#REF!</f>
        <v>#REF!</v>
      </c>
      <c r="D284" s="165"/>
      <c r="E284" s="164"/>
      <c r="F284" s="209" t="e">
        <f>'TANK HARDWARE'!H380+P284</f>
        <v>#REF!</v>
      </c>
      <c r="G284" s="167"/>
      <c r="H284" s="167"/>
      <c r="I284" s="167"/>
      <c r="J284" s="167"/>
      <c r="K284" s="167"/>
      <c r="L284" s="168"/>
      <c r="N284" s="45" t="e">
        <f t="shared" si="20"/>
        <v>#REF!</v>
      </c>
      <c r="O284" s="45" t="e">
        <f>VLOOKUP(C284,#REF!,4,FALSE)</f>
        <v>#REF!</v>
      </c>
      <c r="P284" s="45">
        <f t="shared" si="21"/>
        <v>0</v>
      </c>
    </row>
    <row r="285" spans="2:16" s="45" customFormat="1" ht="12.75" hidden="1" customHeight="1" x14ac:dyDescent="0.25">
      <c r="B285" s="45" t="e">
        <f t="shared" si="22"/>
        <v>#REF!</v>
      </c>
      <c r="C285" s="208" t="e">
        <f>'TANK HARDWARE'!#REF!</f>
        <v>#REF!</v>
      </c>
      <c r="D285" s="165"/>
      <c r="E285" s="164"/>
      <c r="F285" s="209" t="e">
        <f>'TANK HARDWARE'!H381+P285</f>
        <v>#REF!</v>
      </c>
      <c r="G285" s="167"/>
      <c r="H285" s="167"/>
      <c r="I285" s="167"/>
      <c r="J285" s="167"/>
      <c r="K285" s="167"/>
      <c r="L285" s="168"/>
      <c r="N285" s="45" t="e">
        <f t="shared" si="20"/>
        <v>#REF!</v>
      </c>
      <c r="O285" s="45" t="e">
        <f>VLOOKUP(C285,#REF!,4,FALSE)</f>
        <v>#REF!</v>
      </c>
      <c r="P285" s="45">
        <f t="shared" si="21"/>
        <v>0</v>
      </c>
    </row>
    <row r="286" spans="2:16" s="45" customFormat="1" ht="12.75" hidden="1" customHeight="1" x14ac:dyDescent="0.25">
      <c r="B286" s="45" t="e">
        <f t="shared" si="22"/>
        <v>#REF!</v>
      </c>
      <c r="C286" s="208" t="e">
        <f>'TANK HARDWARE'!#REF!</f>
        <v>#REF!</v>
      </c>
      <c r="D286" s="165"/>
      <c r="E286" s="164"/>
      <c r="F286" s="209" t="e">
        <f>'TANK HARDWARE'!H382+P286</f>
        <v>#REF!</v>
      </c>
      <c r="G286" s="167"/>
      <c r="H286" s="167"/>
      <c r="I286" s="167"/>
      <c r="J286" s="167"/>
      <c r="K286" s="167"/>
      <c r="L286" s="168"/>
      <c r="N286" s="45" t="e">
        <f t="shared" si="20"/>
        <v>#REF!</v>
      </c>
      <c r="O286" s="45" t="e">
        <f>VLOOKUP(C286,#REF!,4,FALSE)</f>
        <v>#REF!</v>
      </c>
      <c r="P286" s="45">
        <f t="shared" si="21"/>
        <v>0</v>
      </c>
    </row>
    <row r="287" spans="2:16" s="45" customFormat="1" ht="12.75" hidden="1" customHeight="1" x14ac:dyDescent="0.25">
      <c r="B287" s="45" t="e">
        <f t="shared" si="22"/>
        <v>#REF!</v>
      </c>
      <c r="C287" s="208" t="e">
        <f>'TANK HARDWARE'!#REF!</f>
        <v>#REF!</v>
      </c>
      <c r="D287" s="165"/>
      <c r="E287" s="164"/>
      <c r="F287" s="209" t="e">
        <f>'TANK HARDWARE'!H383+P287</f>
        <v>#REF!</v>
      </c>
      <c r="G287" s="167"/>
      <c r="H287" s="167"/>
      <c r="I287" s="167"/>
      <c r="J287" s="167"/>
      <c r="K287" s="167"/>
      <c r="L287" s="168"/>
      <c r="N287" s="45" t="e">
        <f t="shared" si="20"/>
        <v>#REF!</v>
      </c>
      <c r="O287" s="45" t="e">
        <f>VLOOKUP(C287,#REF!,4,FALSE)</f>
        <v>#REF!</v>
      </c>
      <c r="P287" s="45">
        <f t="shared" si="21"/>
        <v>0</v>
      </c>
    </row>
    <row r="288" spans="2:16" s="45" customFormat="1" ht="12.75" hidden="1" customHeight="1" x14ac:dyDescent="0.25">
      <c r="B288" s="45" t="e">
        <f t="shared" si="22"/>
        <v>#REF!</v>
      </c>
      <c r="C288" s="208" t="e">
        <f>'TANK HARDWARE'!#REF!</f>
        <v>#REF!</v>
      </c>
      <c r="D288" s="165"/>
      <c r="E288" s="164"/>
      <c r="F288" s="209" t="e">
        <f>'TANK HARDWARE'!H384+P288</f>
        <v>#REF!</v>
      </c>
      <c r="G288" s="167"/>
      <c r="H288" s="167"/>
      <c r="I288" s="167"/>
      <c r="J288" s="167"/>
      <c r="K288" s="167"/>
      <c r="L288" s="168"/>
      <c r="N288" s="45" t="e">
        <f t="shared" ref="N288:N319" si="23">F288</f>
        <v>#REF!</v>
      </c>
      <c r="O288" s="45" t="e">
        <f>VLOOKUP(C288,#REF!,4,FALSE)</f>
        <v>#REF!</v>
      </c>
      <c r="P288" s="45">
        <f t="shared" ref="P288:P319" si="24">IFERROR(O288,0)</f>
        <v>0</v>
      </c>
    </row>
    <row r="289" spans="2:16" s="45" customFormat="1" ht="12.75" hidden="1" customHeight="1" x14ac:dyDescent="0.25">
      <c r="B289" s="45" t="e">
        <f t="shared" si="22"/>
        <v>#REF!</v>
      </c>
      <c r="C289" s="208" t="e">
        <f>'TANK HARDWARE'!#REF!</f>
        <v>#REF!</v>
      </c>
      <c r="D289" s="165"/>
      <c r="E289" s="164"/>
      <c r="F289" s="209" t="e">
        <f>'TANK HARDWARE'!H385+P289</f>
        <v>#REF!</v>
      </c>
      <c r="G289" s="167"/>
      <c r="H289" s="167"/>
      <c r="I289" s="167"/>
      <c r="J289" s="167"/>
      <c r="K289" s="167"/>
      <c r="L289" s="168"/>
      <c r="N289" s="45" t="e">
        <f t="shared" si="23"/>
        <v>#REF!</v>
      </c>
      <c r="O289" s="45" t="e">
        <f>VLOOKUP(C289,#REF!,4,FALSE)</f>
        <v>#REF!</v>
      </c>
      <c r="P289" s="45">
        <f t="shared" si="24"/>
        <v>0</v>
      </c>
    </row>
    <row r="290" spans="2:16" s="45" customFormat="1" ht="12.75" hidden="1" customHeight="1" x14ac:dyDescent="0.25">
      <c r="B290" s="45" t="e">
        <f t="shared" si="22"/>
        <v>#REF!</v>
      </c>
      <c r="C290" s="208" t="e">
        <f>'TANK HARDWARE'!#REF!</f>
        <v>#REF!</v>
      </c>
      <c r="D290" s="165"/>
      <c r="E290" s="164"/>
      <c r="F290" s="209" t="e">
        <f>'TANK HARDWARE'!H386+P290</f>
        <v>#REF!</v>
      </c>
      <c r="G290" s="167"/>
      <c r="H290" s="167"/>
      <c r="I290" s="167"/>
      <c r="J290" s="167"/>
      <c r="K290" s="167"/>
      <c r="L290" s="168"/>
      <c r="N290" s="45" t="e">
        <f t="shared" si="23"/>
        <v>#REF!</v>
      </c>
      <c r="O290" s="45" t="e">
        <f>VLOOKUP(C290,#REF!,4,FALSE)</f>
        <v>#REF!</v>
      </c>
      <c r="P290" s="45">
        <f t="shared" si="24"/>
        <v>0</v>
      </c>
    </row>
    <row r="291" spans="2:16" s="45" customFormat="1" ht="12.75" hidden="1" customHeight="1" x14ac:dyDescent="0.25">
      <c r="B291" s="45" t="e">
        <f t="shared" si="22"/>
        <v>#REF!</v>
      </c>
      <c r="C291" s="208" t="e">
        <f>'TANK HARDWARE'!#REF!</f>
        <v>#REF!</v>
      </c>
      <c r="D291" s="165"/>
      <c r="E291" s="164"/>
      <c r="F291" s="209" t="e">
        <f>'TANK HARDWARE'!H387+P291</f>
        <v>#REF!</v>
      </c>
      <c r="G291" s="167"/>
      <c r="H291" s="167"/>
      <c r="I291" s="167"/>
      <c r="J291" s="167"/>
      <c r="K291" s="167"/>
      <c r="L291" s="168"/>
      <c r="N291" s="45" t="e">
        <f t="shared" si="23"/>
        <v>#REF!</v>
      </c>
      <c r="O291" s="45" t="e">
        <f>VLOOKUP(C291,#REF!,4,FALSE)</f>
        <v>#REF!</v>
      </c>
      <c r="P291" s="45">
        <f t="shared" si="24"/>
        <v>0</v>
      </c>
    </row>
    <row r="292" spans="2:16" s="45" customFormat="1" ht="12.75" hidden="1" customHeight="1" x14ac:dyDescent="0.25">
      <c r="B292" s="45" t="e">
        <f t="shared" si="22"/>
        <v>#REF!</v>
      </c>
      <c r="C292" s="208" t="e">
        <f>'TANK HARDWARE'!#REF!</f>
        <v>#REF!</v>
      </c>
      <c r="D292" s="165"/>
      <c r="E292" s="164"/>
      <c r="F292" s="209" t="e">
        <f>'TANK HARDWARE'!H388+P292</f>
        <v>#REF!</v>
      </c>
      <c r="G292" s="167"/>
      <c r="H292" s="167"/>
      <c r="I292" s="167"/>
      <c r="J292" s="167"/>
      <c r="K292" s="167"/>
      <c r="L292" s="168"/>
      <c r="N292" s="45" t="e">
        <f t="shared" si="23"/>
        <v>#REF!</v>
      </c>
      <c r="O292" s="45" t="e">
        <f>VLOOKUP(C292,#REF!,4,FALSE)</f>
        <v>#REF!</v>
      </c>
      <c r="P292" s="45">
        <f t="shared" si="24"/>
        <v>0</v>
      </c>
    </row>
    <row r="293" spans="2:16" s="45" customFormat="1" ht="12.75" hidden="1" customHeight="1" x14ac:dyDescent="0.25">
      <c r="B293" s="45" t="e">
        <f t="shared" si="22"/>
        <v>#REF!</v>
      </c>
      <c r="C293" s="208" t="e">
        <f>'TANK HARDWARE'!#REF!</f>
        <v>#REF!</v>
      </c>
      <c r="D293" s="165"/>
      <c r="E293" s="164"/>
      <c r="F293" s="209" t="e">
        <f>'TANK HARDWARE'!H389+P293</f>
        <v>#REF!</v>
      </c>
      <c r="G293" s="167"/>
      <c r="H293" s="167"/>
      <c r="I293" s="167"/>
      <c r="J293" s="167"/>
      <c r="K293" s="167"/>
      <c r="L293" s="168"/>
      <c r="N293" s="45" t="e">
        <f t="shared" si="23"/>
        <v>#REF!</v>
      </c>
      <c r="O293" s="45" t="e">
        <f>VLOOKUP(C293,#REF!,4,FALSE)</f>
        <v>#REF!</v>
      </c>
      <c r="P293" s="45">
        <f t="shared" si="24"/>
        <v>0</v>
      </c>
    </row>
    <row r="294" spans="2:16" s="45" customFormat="1" ht="12.75" hidden="1" customHeight="1" x14ac:dyDescent="0.25">
      <c r="B294" s="45" t="e">
        <f t="shared" si="22"/>
        <v>#REF!</v>
      </c>
      <c r="C294" s="208" t="e">
        <f>'TANK HARDWARE'!#REF!</f>
        <v>#REF!</v>
      </c>
      <c r="D294" s="165"/>
      <c r="E294" s="164"/>
      <c r="F294" s="209" t="e">
        <f>'TANK HARDWARE'!H390+P294</f>
        <v>#REF!</v>
      </c>
      <c r="G294" s="167"/>
      <c r="H294" s="167"/>
      <c r="I294" s="167"/>
      <c r="J294" s="167"/>
      <c r="K294" s="167"/>
      <c r="L294" s="168"/>
      <c r="N294" s="45" t="e">
        <f t="shared" si="23"/>
        <v>#REF!</v>
      </c>
      <c r="O294" s="45" t="e">
        <f>VLOOKUP(C294,#REF!,4,FALSE)</f>
        <v>#REF!</v>
      </c>
      <c r="P294" s="45">
        <f t="shared" si="24"/>
        <v>0</v>
      </c>
    </row>
    <row r="295" spans="2:16" s="45" customFormat="1" ht="12.75" hidden="1" customHeight="1" x14ac:dyDescent="0.25">
      <c r="B295" s="45" t="e">
        <f t="shared" si="22"/>
        <v>#REF!</v>
      </c>
      <c r="C295" s="208" t="e">
        <f>'TANK HARDWARE'!#REF!</f>
        <v>#REF!</v>
      </c>
      <c r="D295" s="165"/>
      <c r="E295" s="164"/>
      <c r="F295" s="209" t="e">
        <f>'TANK HARDWARE'!H391+P295</f>
        <v>#REF!</v>
      </c>
      <c r="G295" s="167"/>
      <c r="H295" s="167"/>
      <c r="I295" s="167"/>
      <c r="J295" s="167"/>
      <c r="K295" s="167"/>
      <c r="L295" s="168"/>
      <c r="N295" s="45" t="e">
        <f t="shared" si="23"/>
        <v>#REF!</v>
      </c>
      <c r="O295" s="45" t="e">
        <f>VLOOKUP(C295,#REF!,4,FALSE)</f>
        <v>#REF!</v>
      </c>
      <c r="P295" s="45">
        <f t="shared" si="24"/>
        <v>0</v>
      </c>
    </row>
    <row r="296" spans="2:16" s="45" customFormat="1" ht="12.75" hidden="1" customHeight="1" x14ac:dyDescent="0.25">
      <c r="B296" s="45" t="e">
        <f t="shared" si="22"/>
        <v>#REF!</v>
      </c>
      <c r="C296" s="208" t="e">
        <f>'TANK HARDWARE'!#REF!</f>
        <v>#REF!</v>
      </c>
      <c r="D296" s="165"/>
      <c r="E296" s="164"/>
      <c r="F296" s="209" t="e">
        <f>'TANK HARDWARE'!H392+P296</f>
        <v>#REF!</v>
      </c>
      <c r="G296" s="167"/>
      <c r="H296" s="167"/>
      <c r="I296" s="167"/>
      <c r="J296" s="167"/>
      <c r="K296" s="167"/>
      <c r="L296" s="168"/>
      <c r="N296" s="45" t="e">
        <f t="shared" si="23"/>
        <v>#REF!</v>
      </c>
      <c r="O296" s="45" t="e">
        <f>VLOOKUP(C296,#REF!,4,FALSE)</f>
        <v>#REF!</v>
      </c>
      <c r="P296" s="45">
        <f t="shared" si="24"/>
        <v>0</v>
      </c>
    </row>
    <row r="297" spans="2:16" s="45" customFormat="1" ht="12.75" hidden="1" customHeight="1" x14ac:dyDescent="0.25">
      <c r="B297" s="45" t="e">
        <f t="shared" si="22"/>
        <v>#REF!</v>
      </c>
      <c r="C297" s="208" t="e">
        <f>'TANK HARDWARE'!#REF!</f>
        <v>#REF!</v>
      </c>
      <c r="D297" s="165"/>
      <c r="E297" s="164"/>
      <c r="F297" s="209" t="e">
        <f>'TANK HARDWARE'!H393+P297</f>
        <v>#REF!</v>
      </c>
      <c r="G297" s="167"/>
      <c r="H297" s="167"/>
      <c r="I297" s="167"/>
      <c r="J297" s="167"/>
      <c r="K297" s="167"/>
      <c r="L297" s="168"/>
      <c r="N297" s="45" t="e">
        <f t="shared" si="23"/>
        <v>#REF!</v>
      </c>
      <c r="O297" s="45" t="e">
        <f>VLOOKUP(C297,#REF!,4,FALSE)</f>
        <v>#REF!</v>
      </c>
      <c r="P297" s="45">
        <f t="shared" si="24"/>
        <v>0</v>
      </c>
    </row>
    <row r="298" spans="2:16" s="45" customFormat="1" ht="12.75" hidden="1" customHeight="1" x14ac:dyDescent="0.25">
      <c r="B298" s="45" t="e">
        <f t="shared" si="22"/>
        <v>#REF!</v>
      </c>
      <c r="C298" s="208" t="e">
        <f>'TANK HARDWARE'!#REF!</f>
        <v>#REF!</v>
      </c>
      <c r="D298" s="165"/>
      <c r="E298" s="164"/>
      <c r="F298" s="209" t="e">
        <f>'TANK HARDWARE'!H394+P298</f>
        <v>#REF!</v>
      </c>
      <c r="G298" s="167"/>
      <c r="H298" s="167"/>
      <c r="I298" s="167"/>
      <c r="J298" s="167"/>
      <c r="K298" s="167"/>
      <c r="L298" s="168"/>
      <c r="N298" s="45" t="e">
        <f t="shared" si="23"/>
        <v>#REF!</v>
      </c>
      <c r="O298" s="45" t="e">
        <f>VLOOKUP(C298,#REF!,4,FALSE)</f>
        <v>#REF!</v>
      </c>
      <c r="P298" s="45">
        <f t="shared" si="24"/>
        <v>0</v>
      </c>
    </row>
    <row r="299" spans="2:16" s="45" customFormat="1" ht="12.75" hidden="1" customHeight="1" x14ac:dyDescent="0.25">
      <c r="B299" s="45" t="e">
        <f t="shared" si="22"/>
        <v>#REF!</v>
      </c>
      <c r="C299" s="208" t="e">
        <f>'TANK HARDWARE'!#REF!</f>
        <v>#REF!</v>
      </c>
      <c r="D299" s="165"/>
      <c r="E299" s="164"/>
      <c r="F299" s="209" t="e">
        <f>'TANK HARDWARE'!H395+P299</f>
        <v>#REF!</v>
      </c>
      <c r="G299" s="167"/>
      <c r="H299" s="167"/>
      <c r="I299" s="167"/>
      <c r="J299" s="167"/>
      <c r="K299" s="167"/>
      <c r="L299" s="168"/>
      <c r="N299" s="45" t="e">
        <f t="shared" si="23"/>
        <v>#REF!</v>
      </c>
      <c r="O299" s="45" t="e">
        <f>VLOOKUP(C299,#REF!,4,FALSE)</f>
        <v>#REF!</v>
      </c>
      <c r="P299" s="45">
        <f t="shared" si="24"/>
        <v>0</v>
      </c>
    </row>
    <row r="300" spans="2:16" s="45" customFormat="1" ht="12.75" hidden="1" customHeight="1" x14ac:dyDescent="0.25">
      <c r="B300" s="45" t="e">
        <f t="shared" si="22"/>
        <v>#REF!</v>
      </c>
      <c r="C300" s="208" t="e">
        <f>'TANK HARDWARE'!#REF!</f>
        <v>#REF!</v>
      </c>
      <c r="D300" s="165"/>
      <c r="E300" s="164"/>
      <c r="F300" s="209" t="e">
        <f>'TANK HARDWARE'!H396+P300</f>
        <v>#REF!</v>
      </c>
      <c r="G300" s="167"/>
      <c r="H300" s="167"/>
      <c r="I300" s="167"/>
      <c r="J300" s="167"/>
      <c r="K300" s="167"/>
      <c r="L300" s="168"/>
      <c r="N300" s="45" t="e">
        <f t="shared" si="23"/>
        <v>#REF!</v>
      </c>
      <c r="O300" s="45" t="e">
        <f>VLOOKUP(C300,#REF!,4,FALSE)</f>
        <v>#REF!</v>
      </c>
      <c r="P300" s="45">
        <f t="shared" si="24"/>
        <v>0</v>
      </c>
    </row>
    <row r="301" spans="2:16" s="45" customFormat="1" ht="12.75" hidden="1" customHeight="1" x14ac:dyDescent="0.25">
      <c r="B301" s="45" t="e">
        <f t="shared" si="22"/>
        <v>#REF!</v>
      </c>
      <c r="C301" s="208" t="e">
        <f>'TANK HARDWARE'!#REF!</f>
        <v>#REF!</v>
      </c>
      <c r="D301" s="165"/>
      <c r="E301" s="164"/>
      <c r="F301" s="209" t="e">
        <f>'TANK HARDWARE'!H397+P301</f>
        <v>#REF!</v>
      </c>
      <c r="G301" s="167"/>
      <c r="H301" s="167"/>
      <c r="I301" s="167"/>
      <c r="J301" s="167"/>
      <c r="K301" s="167"/>
      <c r="L301" s="168"/>
      <c r="N301" s="45" t="e">
        <f t="shared" si="23"/>
        <v>#REF!</v>
      </c>
      <c r="O301" s="45" t="e">
        <f>VLOOKUP(C301,#REF!,4,FALSE)</f>
        <v>#REF!</v>
      </c>
      <c r="P301" s="45">
        <f t="shared" si="24"/>
        <v>0</v>
      </c>
    </row>
    <row r="302" spans="2:16" s="45" customFormat="1" ht="12.75" hidden="1" customHeight="1" x14ac:dyDescent="0.25">
      <c r="B302" s="45" t="e">
        <f t="shared" si="22"/>
        <v>#REF!</v>
      </c>
      <c r="C302" s="208" t="e">
        <f>'TANK HARDWARE'!#REF!</f>
        <v>#REF!</v>
      </c>
      <c r="D302" s="165"/>
      <c r="E302" s="164"/>
      <c r="F302" s="209" t="e">
        <f>'TANK HARDWARE'!H398+P302</f>
        <v>#REF!</v>
      </c>
      <c r="G302" s="167"/>
      <c r="H302" s="167"/>
      <c r="I302" s="167"/>
      <c r="J302" s="167"/>
      <c r="K302" s="167"/>
      <c r="L302" s="168"/>
      <c r="N302" s="45" t="e">
        <f t="shared" si="23"/>
        <v>#REF!</v>
      </c>
      <c r="O302" s="45" t="e">
        <f>VLOOKUP(C302,#REF!,4,FALSE)</f>
        <v>#REF!</v>
      </c>
      <c r="P302" s="45">
        <f t="shared" si="24"/>
        <v>0</v>
      </c>
    </row>
    <row r="303" spans="2:16" s="45" customFormat="1" ht="12.75" hidden="1" customHeight="1" x14ac:dyDescent="0.25">
      <c r="B303" s="45" t="e">
        <f t="shared" si="22"/>
        <v>#REF!</v>
      </c>
      <c r="C303" s="208" t="e">
        <f>'TANK HARDWARE'!#REF!</f>
        <v>#REF!</v>
      </c>
      <c r="D303" s="165"/>
      <c r="E303" s="164"/>
      <c r="F303" s="209" t="e">
        <f>'TANK HARDWARE'!H399+P303</f>
        <v>#REF!</v>
      </c>
      <c r="G303" s="167"/>
      <c r="H303" s="167"/>
      <c r="I303" s="167"/>
      <c r="J303" s="167"/>
      <c r="K303" s="167"/>
      <c r="L303" s="168"/>
      <c r="N303" s="45" t="e">
        <f t="shared" si="23"/>
        <v>#REF!</v>
      </c>
      <c r="O303" s="45" t="e">
        <f>VLOOKUP(C303,#REF!,4,FALSE)</f>
        <v>#REF!</v>
      </c>
      <c r="P303" s="45">
        <f t="shared" si="24"/>
        <v>0</v>
      </c>
    </row>
    <row r="304" spans="2:16" s="45" customFormat="1" ht="12.75" hidden="1" customHeight="1" x14ac:dyDescent="0.25">
      <c r="B304" s="45" t="e">
        <f t="shared" si="22"/>
        <v>#REF!</v>
      </c>
      <c r="C304" s="208" t="e">
        <f>'TANK HARDWARE'!#REF!</f>
        <v>#REF!</v>
      </c>
      <c r="D304" s="165"/>
      <c r="E304" s="164"/>
      <c r="F304" s="209" t="e">
        <f>'TANK HARDWARE'!H400+P304</f>
        <v>#REF!</v>
      </c>
      <c r="G304" s="167"/>
      <c r="H304" s="167"/>
      <c r="I304" s="167"/>
      <c r="J304" s="167"/>
      <c r="K304" s="167"/>
      <c r="L304" s="168"/>
      <c r="N304" s="45" t="e">
        <f t="shared" si="23"/>
        <v>#REF!</v>
      </c>
      <c r="O304" s="45" t="e">
        <f>VLOOKUP(C304,#REF!,4,FALSE)</f>
        <v>#REF!</v>
      </c>
      <c r="P304" s="45">
        <f t="shared" si="24"/>
        <v>0</v>
      </c>
    </row>
    <row r="305" spans="2:16" s="45" customFormat="1" ht="12.75" hidden="1" customHeight="1" x14ac:dyDescent="0.25">
      <c r="B305" s="45" t="e">
        <f t="shared" si="22"/>
        <v>#REF!</v>
      </c>
      <c r="C305" s="208" t="e">
        <f>'TANK HARDWARE'!#REF!</f>
        <v>#REF!</v>
      </c>
      <c r="D305" s="165"/>
      <c r="E305" s="164"/>
      <c r="F305" s="209" t="e">
        <f>'TANK HARDWARE'!H401+P305</f>
        <v>#REF!</v>
      </c>
      <c r="G305" s="167"/>
      <c r="H305" s="167"/>
      <c r="I305" s="167"/>
      <c r="J305" s="167"/>
      <c r="K305" s="167"/>
      <c r="L305" s="168"/>
      <c r="N305" s="45" t="e">
        <f t="shared" si="23"/>
        <v>#REF!</v>
      </c>
      <c r="O305" s="45" t="e">
        <f>VLOOKUP(C305,#REF!,4,FALSE)</f>
        <v>#REF!</v>
      </c>
      <c r="P305" s="45">
        <f t="shared" si="24"/>
        <v>0</v>
      </c>
    </row>
    <row r="306" spans="2:16" s="45" customFormat="1" ht="12.75" hidden="1" customHeight="1" x14ac:dyDescent="0.25">
      <c r="B306" s="45" t="e">
        <f t="shared" si="22"/>
        <v>#REF!</v>
      </c>
      <c r="C306" s="208" t="e">
        <f>'TANK HARDWARE'!#REF!</f>
        <v>#REF!</v>
      </c>
      <c r="D306" s="165"/>
      <c r="E306" s="164"/>
      <c r="F306" s="209" t="e">
        <f>'TANK HARDWARE'!H402+P306</f>
        <v>#REF!</v>
      </c>
      <c r="G306" s="167"/>
      <c r="H306" s="167"/>
      <c r="I306" s="167"/>
      <c r="J306" s="167"/>
      <c r="K306" s="167"/>
      <c r="L306" s="168"/>
      <c r="N306" s="45" t="e">
        <f t="shared" si="23"/>
        <v>#REF!</v>
      </c>
      <c r="O306" s="45" t="e">
        <f>VLOOKUP(C306,#REF!,4,FALSE)</f>
        <v>#REF!</v>
      </c>
      <c r="P306" s="45">
        <f t="shared" si="24"/>
        <v>0</v>
      </c>
    </row>
    <row r="307" spans="2:16" s="45" customFormat="1" ht="12.75" hidden="1" customHeight="1" x14ac:dyDescent="0.25">
      <c r="B307" s="45" t="e">
        <f t="shared" si="22"/>
        <v>#REF!</v>
      </c>
      <c r="C307" s="208" t="e">
        <f>'TANK HARDWARE'!#REF!</f>
        <v>#REF!</v>
      </c>
      <c r="D307" s="165"/>
      <c r="E307" s="164"/>
      <c r="F307" s="209" t="e">
        <f>'TANK HARDWARE'!H403+P307</f>
        <v>#REF!</v>
      </c>
      <c r="G307" s="167"/>
      <c r="H307" s="167"/>
      <c r="I307" s="167"/>
      <c r="J307" s="167"/>
      <c r="K307" s="167"/>
      <c r="L307" s="168"/>
      <c r="N307" s="45" t="e">
        <f t="shared" si="23"/>
        <v>#REF!</v>
      </c>
      <c r="O307" s="45" t="e">
        <f>VLOOKUP(C307,#REF!,4,FALSE)</f>
        <v>#REF!</v>
      </c>
      <c r="P307" s="45">
        <f t="shared" si="24"/>
        <v>0</v>
      </c>
    </row>
    <row r="308" spans="2:16" s="45" customFormat="1" ht="12.75" hidden="1" customHeight="1" x14ac:dyDescent="0.25">
      <c r="B308" s="45" t="e">
        <f t="shared" si="22"/>
        <v>#REF!</v>
      </c>
      <c r="C308" s="208" t="e">
        <f>'TANK HARDWARE'!#REF!</f>
        <v>#REF!</v>
      </c>
      <c r="D308" s="165"/>
      <c r="E308" s="164"/>
      <c r="F308" s="209" t="e">
        <f>'TANK HARDWARE'!H404+P308</f>
        <v>#REF!</v>
      </c>
      <c r="G308" s="167"/>
      <c r="H308" s="167"/>
      <c r="I308" s="167"/>
      <c r="J308" s="167"/>
      <c r="K308" s="167"/>
      <c r="L308" s="168"/>
      <c r="N308" s="45" t="e">
        <f t="shared" si="23"/>
        <v>#REF!</v>
      </c>
      <c r="O308" s="45" t="e">
        <f>VLOOKUP(C308,#REF!,4,FALSE)</f>
        <v>#REF!</v>
      </c>
      <c r="P308" s="45">
        <f t="shared" si="24"/>
        <v>0</v>
      </c>
    </row>
    <row r="309" spans="2:16" s="45" customFormat="1" ht="12.75" hidden="1" customHeight="1" x14ac:dyDescent="0.25">
      <c r="B309" s="45" t="e">
        <f t="shared" si="22"/>
        <v>#REF!</v>
      </c>
      <c r="C309" s="208" t="e">
        <f>'TANK HARDWARE'!#REF!</f>
        <v>#REF!</v>
      </c>
      <c r="D309" s="165"/>
      <c r="E309" s="164"/>
      <c r="F309" s="209" t="e">
        <f>'TANK HARDWARE'!H405+P309</f>
        <v>#REF!</v>
      </c>
      <c r="G309" s="167"/>
      <c r="H309" s="167"/>
      <c r="I309" s="167"/>
      <c r="J309" s="167"/>
      <c r="K309" s="167"/>
      <c r="L309" s="168"/>
      <c r="N309" s="45" t="e">
        <f t="shared" si="23"/>
        <v>#REF!</v>
      </c>
      <c r="O309" s="45" t="e">
        <f>VLOOKUP(C309,#REF!,4,FALSE)</f>
        <v>#REF!</v>
      </c>
      <c r="P309" s="45">
        <f t="shared" si="24"/>
        <v>0</v>
      </c>
    </row>
    <row r="310" spans="2:16" s="45" customFormat="1" ht="12.75" hidden="1" customHeight="1" x14ac:dyDescent="0.25">
      <c r="B310" s="45" t="e">
        <f t="shared" si="22"/>
        <v>#REF!</v>
      </c>
      <c r="C310" s="208" t="e">
        <f>'TANK HARDWARE'!#REF!</f>
        <v>#REF!</v>
      </c>
      <c r="D310" s="165"/>
      <c r="E310" s="164"/>
      <c r="F310" s="209" t="e">
        <f>'TANK HARDWARE'!H406+P310</f>
        <v>#REF!</v>
      </c>
      <c r="G310" s="167"/>
      <c r="H310" s="167"/>
      <c r="I310" s="167"/>
      <c r="J310" s="167"/>
      <c r="K310" s="167"/>
      <c r="L310" s="168"/>
      <c r="N310" s="45" t="e">
        <f t="shared" si="23"/>
        <v>#REF!</v>
      </c>
      <c r="O310" s="45" t="e">
        <f>VLOOKUP(C310,#REF!,4,FALSE)</f>
        <v>#REF!</v>
      </c>
      <c r="P310" s="45">
        <f t="shared" si="24"/>
        <v>0</v>
      </c>
    </row>
    <row r="311" spans="2:16" s="45" customFormat="1" ht="12.75" hidden="1" customHeight="1" x14ac:dyDescent="0.25">
      <c r="B311" s="45" t="e">
        <f t="shared" si="22"/>
        <v>#REF!</v>
      </c>
      <c r="C311" s="208" t="e">
        <f>'TANK HARDWARE'!#REF!</f>
        <v>#REF!</v>
      </c>
      <c r="D311" s="165"/>
      <c r="E311" s="164"/>
      <c r="F311" s="209" t="e">
        <f>'TANK HARDWARE'!H407+P311</f>
        <v>#REF!</v>
      </c>
      <c r="G311" s="167"/>
      <c r="H311" s="167"/>
      <c r="I311" s="167"/>
      <c r="J311" s="167"/>
      <c r="K311" s="167"/>
      <c r="L311" s="168"/>
      <c r="N311" s="45" t="e">
        <f t="shared" si="23"/>
        <v>#REF!</v>
      </c>
      <c r="O311" s="45" t="e">
        <f>VLOOKUP(C311,#REF!,4,FALSE)</f>
        <v>#REF!</v>
      </c>
      <c r="P311" s="45">
        <f t="shared" si="24"/>
        <v>0</v>
      </c>
    </row>
    <row r="312" spans="2:16" s="45" customFormat="1" ht="12.75" hidden="1" customHeight="1" x14ac:dyDescent="0.25">
      <c r="B312" s="45" t="e">
        <f t="shared" si="22"/>
        <v>#REF!</v>
      </c>
      <c r="C312" s="208" t="e">
        <f>'TANK HARDWARE'!#REF!</f>
        <v>#REF!</v>
      </c>
      <c r="D312" s="165"/>
      <c r="E312" s="164"/>
      <c r="F312" s="209" t="e">
        <f>'TANK HARDWARE'!H408+P312</f>
        <v>#REF!</v>
      </c>
      <c r="G312" s="167"/>
      <c r="H312" s="167"/>
      <c r="I312" s="167"/>
      <c r="J312" s="167"/>
      <c r="K312" s="167"/>
      <c r="L312" s="168"/>
      <c r="N312" s="45" t="e">
        <f t="shared" si="23"/>
        <v>#REF!</v>
      </c>
      <c r="O312" s="45" t="e">
        <f>VLOOKUP(C312,#REF!,4,FALSE)</f>
        <v>#REF!</v>
      </c>
      <c r="P312" s="45">
        <f t="shared" si="24"/>
        <v>0</v>
      </c>
    </row>
    <row r="313" spans="2:16" s="45" customFormat="1" ht="12.75" hidden="1" customHeight="1" x14ac:dyDescent="0.25">
      <c r="B313" s="45" t="e">
        <f t="shared" si="22"/>
        <v>#REF!</v>
      </c>
      <c r="C313" s="208" t="e">
        <f>'TANK HARDWARE'!#REF!</f>
        <v>#REF!</v>
      </c>
      <c r="D313" s="165"/>
      <c r="E313" s="164"/>
      <c r="F313" s="209" t="e">
        <f>'TANK HARDWARE'!H409+P313</f>
        <v>#REF!</v>
      </c>
      <c r="G313" s="167"/>
      <c r="H313" s="167"/>
      <c r="I313" s="167"/>
      <c r="J313" s="167"/>
      <c r="K313" s="167"/>
      <c r="L313" s="168"/>
      <c r="N313" s="45" t="e">
        <f t="shared" si="23"/>
        <v>#REF!</v>
      </c>
      <c r="O313" s="45" t="e">
        <f>VLOOKUP(C313,#REF!,4,FALSE)</f>
        <v>#REF!</v>
      </c>
      <c r="P313" s="45">
        <f t="shared" si="24"/>
        <v>0</v>
      </c>
    </row>
    <row r="314" spans="2:16" s="45" customFormat="1" ht="12.75" hidden="1" customHeight="1" x14ac:dyDescent="0.25">
      <c r="B314" s="45" t="e">
        <f t="shared" si="22"/>
        <v>#REF!</v>
      </c>
      <c r="C314" s="208" t="e">
        <f>'TANK HARDWARE'!#REF!</f>
        <v>#REF!</v>
      </c>
      <c r="D314" s="165"/>
      <c r="E314" s="164"/>
      <c r="F314" s="209" t="e">
        <f>'TANK HARDWARE'!H410+P314</f>
        <v>#REF!</v>
      </c>
      <c r="G314" s="167"/>
      <c r="H314" s="167"/>
      <c r="I314" s="167"/>
      <c r="J314" s="167"/>
      <c r="K314" s="167"/>
      <c r="L314" s="168"/>
      <c r="N314" s="45" t="e">
        <f t="shared" si="23"/>
        <v>#REF!</v>
      </c>
      <c r="O314" s="45" t="e">
        <f>VLOOKUP(C314,#REF!,4,FALSE)</f>
        <v>#REF!</v>
      </c>
      <c r="P314" s="45">
        <f t="shared" si="24"/>
        <v>0</v>
      </c>
    </row>
    <row r="315" spans="2:16" s="45" customFormat="1" ht="12.75" hidden="1" customHeight="1" x14ac:dyDescent="0.25">
      <c r="B315" s="45" t="e">
        <f t="shared" si="22"/>
        <v>#REF!</v>
      </c>
      <c r="C315" s="208" t="e">
        <f>'TANK HARDWARE'!#REF!</f>
        <v>#REF!</v>
      </c>
      <c r="D315" s="165"/>
      <c r="E315" s="164"/>
      <c r="F315" s="209" t="e">
        <f>'TANK HARDWARE'!H411+P315</f>
        <v>#REF!</v>
      </c>
      <c r="G315" s="167"/>
      <c r="H315" s="167"/>
      <c r="I315" s="167"/>
      <c r="J315" s="167"/>
      <c r="K315" s="167"/>
      <c r="L315" s="168"/>
      <c r="N315" s="45" t="e">
        <f t="shared" si="23"/>
        <v>#REF!</v>
      </c>
      <c r="O315" s="45" t="e">
        <f>VLOOKUP(C315,#REF!,4,FALSE)</f>
        <v>#REF!</v>
      </c>
      <c r="P315" s="45">
        <f t="shared" si="24"/>
        <v>0</v>
      </c>
    </row>
    <row r="316" spans="2:16" s="45" customFormat="1" ht="12.75" hidden="1" customHeight="1" x14ac:dyDescent="0.25">
      <c r="B316" s="45" t="e">
        <f t="shared" si="22"/>
        <v>#REF!</v>
      </c>
      <c r="C316" s="208" t="e">
        <f>'TANK HARDWARE'!#REF!</f>
        <v>#REF!</v>
      </c>
      <c r="D316" s="165"/>
      <c r="E316" s="164"/>
      <c r="F316" s="209" t="e">
        <f>'TANK HARDWARE'!H412+P316</f>
        <v>#REF!</v>
      </c>
      <c r="G316" s="167"/>
      <c r="H316" s="167"/>
      <c r="I316" s="167"/>
      <c r="J316" s="167"/>
      <c r="K316" s="167"/>
      <c r="L316" s="168"/>
      <c r="N316" s="45" t="e">
        <f t="shared" si="23"/>
        <v>#REF!</v>
      </c>
      <c r="O316" s="45" t="e">
        <f>VLOOKUP(C316,#REF!,4,FALSE)</f>
        <v>#REF!</v>
      </c>
      <c r="P316" s="45">
        <f t="shared" si="24"/>
        <v>0</v>
      </c>
    </row>
    <row r="317" spans="2:16" s="45" customFormat="1" ht="12.75" hidden="1" customHeight="1" x14ac:dyDescent="0.25">
      <c r="B317" s="45" t="e">
        <f t="shared" si="22"/>
        <v>#REF!</v>
      </c>
      <c r="C317" s="208" t="e">
        <f>'TANK HARDWARE'!#REF!</f>
        <v>#REF!</v>
      </c>
      <c r="D317" s="165"/>
      <c r="E317" s="164"/>
      <c r="F317" s="209" t="e">
        <f>'TANK HARDWARE'!H413+P317</f>
        <v>#REF!</v>
      </c>
      <c r="G317" s="167"/>
      <c r="H317" s="167"/>
      <c r="I317" s="167"/>
      <c r="J317" s="167"/>
      <c r="K317" s="167"/>
      <c r="L317" s="168"/>
      <c r="N317" s="45" t="e">
        <f t="shared" si="23"/>
        <v>#REF!</v>
      </c>
      <c r="O317" s="45" t="e">
        <f>VLOOKUP(C317,#REF!,4,FALSE)</f>
        <v>#REF!</v>
      </c>
      <c r="P317" s="45">
        <f t="shared" si="24"/>
        <v>0</v>
      </c>
    </row>
    <row r="318" spans="2:16" s="45" customFormat="1" ht="12.75" hidden="1" customHeight="1" x14ac:dyDescent="0.25">
      <c r="B318" s="45" t="e">
        <f t="shared" si="22"/>
        <v>#REF!</v>
      </c>
      <c r="C318" s="208" t="e">
        <f>'TANK HARDWARE'!#REF!</f>
        <v>#REF!</v>
      </c>
      <c r="D318" s="165"/>
      <c r="E318" s="164"/>
      <c r="F318" s="209" t="e">
        <f>'TANK HARDWARE'!H414+P318</f>
        <v>#REF!</v>
      </c>
      <c r="G318" s="167"/>
      <c r="H318" s="167"/>
      <c r="I318" s="167"/>
      <c r="J318" s="167"/>
      <c r="K318" s="167"/>
      <c r="L318" s="168"/>
      <c r="N318" s="45" t="e">
        <f t="shared" si="23"/>
        <v>#REF!</v>
      </c>
      <c r="O318" s="45" t="e">
        <f>VLOOKUP(C318,#REF!,4,FALSE)</f>
        <v>#REF!</v>
      </c>
      <c r="P318" s="45">
        <f t="shared" si="24"/>
        <v>0</v>
      </c>
    </row>
    <row r="319" spans="2:16" s="45" customFormat="1" ht="12.75" hidden="1" customHeight="1" x14ac:dyDescent="0.25">
      <c r="B319" s="45" t="e">
        <f t="shared" si="22"/>
        <v>#REF!</v>
      </c>
      <c r="C319" s="208" t="e">
        <f>'TANK HARDWARE'!#REF!</f>
        <v>#REF!</v>
      </c>
      <c r="D319" s="165"/>
      <c r="E319" s="164"/>
      <c r="F319" s="209" t="e">
        <f>'TANK HARDWARE'!H415+P319</f>
        <v>#REF!</v>
      </c>
      <c r="G319" s="167"/>
      <c r="H319" s="167"/>
      <c r="I319" s="167"/>
      <c r="J319" s="167"/>
      <c r="K319" s="167"/>
      <c r="L319" s="168"/>
      <c r="N319" s="45" t="e">
        <f t="shared" si="23"/>
        <v>#REF!</v>
      </c>
      <c r="O319" s="45" t="e">
        <f>VLOOKUP(C319,#REF!,4,FALSE)</f>
        <v>#REF!</v>
      </c>
      <c r="P319" s="45">
        <f t="shared" si="24"/>
        <v>0</v>
      </c>
    </row>
    <row r="320" spans="2:16" s="45" customFormat="1" ht="12.75" hidden="1" customHeight="1" x14ac:dyDescent="0.25">
      <c r="B320" s="45" t="e">
        <f t="shared" si="22"/>
        <v>#REF!</v>
      </c>
      <c r="C320" s="208" t="e">
        <f>'TANK HARDWARE'!#REF!</f>
        <v>#REF!</v>
      </c>
      <c r="D320" s="165"/>
      <c r="E320" s="164"/>
      <c r="F320" s="209" t="e">
        <f>'TANK HARDWARE'!H416+P320</f>
        <v>#REF!</v>
      </c>
      <c r="G320" s="167"/>
      <c r="H320" s="167"/>
      <c r="I320" s="167"/>
      <c r="J320" s="167"/>
      <c r="K320" s="167"/>
      <c r="L320" s="168"/>
      <c r="N320" s="45" t="e">
        <f t="shared" ref="N320:N336" si="25">F320</f>
        <v>#REF!</v>
      </c>
      <c r="O320" s="45" t="e">
        <f>VLOOKUP(C320,#REF!,4,FALSE)</f>
        <v>#REF!</v>
      </c>
      <c r="P320" s="45">
        <f t="shared" ref="P320:P336" si="26">IFERROR(O320,0)</f>
        <v>0</v>
      </c>
    </row>
    <row r="321" spans="2:16" s="45" customFormat="1" ht="12.75" hidden="1" customHeight="1" x14ac:dyDescent="0.25">
      <c r="B321" s="45" t="e">
        <f t="shared" si="22"/>
        <v>#REF!</v>
      </c>
      <c r="C321" s="208" t="e">
        <f>'TANK HARDWARE'!#REF!</f>
        <v>#REF!</v>
      </c>
      <c r="D321" s="165"/>
      <c r="E321" s="164"/>
      <c r="F321" s="209" t="e">
        <f>'TANK HARDWARE'!H417+P321</f>
        <v>#REF!</v>
      </c>
      <c r="G321" s="167"/>
      <c r="H321" s="167"/>
      <c r="I321" s="167"/>
      <c r="J321" s="167"/>
      <c r="K321" s="167"/>
      <c r="L321" s="168"/>
      <c r="N321" s="45" t="e">
        <f t="shared" si="25"/>
        <v>#REF!</v>
      </c>
      <c r="O321" s="45" t="e">
        <f>VLOOKUP(C321,#REF!,4,FALSE)</f>
        <v>#REF!</v>
      </c>
      <c r="P321" s="45">
        <f t="shared" si="26"/>
        <v>0</v>
      </c>
    </row>
    <row r="322" spans="2:16" s="45" customFormat="1" ht="12.75" hidden="1" customHeight="1" x14ac:dyDescent="0.25">
      <c r="B322" s="45" t="e">
        <f t="shared" si="22"/>
        <v>#REF!</v>
      </c>
      <c r="C322" s="208" t="e">
        <f>'TANK HARDWARE'!#REF!</f>
        <v>#REF!</v>
      </c>
      <c r="D322" s="165"/>
      <c r="E322" s="164"/>
      <c r="F322" s="209" t="e">
        <f>'TANK HARDWARE'!H418+P322</f>
        <v>#REF!</v>
      </c>
      <c r="G322" s="167"/>
      <c r="H322" s="167"/>
      <c r="I322" s="167"/>
      <c r="J322" s="167"/>
      <c r="K322" s="167"/>
      <c r="L322" s="168"/>
      <c r="N322" s="45" t="e">
        <f t="shared" si="25"/>
        <v>#REF!</v>
      </c>
      <c r="O322" s="45" t="e">
        <f>VLOOKUP(C322,#REF!,4,FALSE)</f>
        <v>#REF!</v>
      </c>
      <c r="P322" s="45">
        <f t="shared" si="26"/>
        <v>0</v>
      </c>
    </row>
    <row r="323" spans="2:16" s="45" customFormat="1" ht="12.75" hidden="1" customHeight="1" x14ac:dyDescent="0.25">
      <c r="B323" s="45" t="e">
        <f t="shared" si="22"/>
        <v>#REF!</v>
      </c>
      <c r="C323" s="208" t="e">
        <f>'TANK HARDWARE'!#REF!</f>
        <v>#REF!</v>
      </c>
      <c r="D323" s="165"/>
      <c r="E323" s="164"/>
      <c r="F323" s="209" t="e">
        <f>'TANK HARDWARE'!H419+P323</f>
        <v>#REF!</v>
      </c>
      <c r="G323" s="167"/>
      <c r="H323" s="167"/>
      <c r="I323" s="167"/>
      <c r="J323" s="167"/>
      <c r="K323" s="167"/>
      <c r="L323" s="168"/>
      <c r="N323" s="45" t="e">
        <f t="shared" si="25"/>
        <v>#REF!</v>
      </c>
      <c r="O323" s="45" t="e">
        <f>VLOOKUP(C323,#REF!,4,FALSE)</f>
        <v>#REF!</v>
      </c>
      <c r="P323" s="45">
        <f t="shared" si="26"/>
        <v>0</v>
      </c>
    </row>
    <row r="324" spans="2:16" s="45" customFormat="1" ht="12.75" hidden="1" customHeight="1" x14ac:dyDescent="0.25">
      <c r="B324" s="45" t="e">
        <f t="shared" si="22"/>
        <v>#REF!</v>
      </c>
      <c r="C324" s="208" t="e">
        <f>'TANK HARDWARE'!#REF!</f>
        <v>#REF!</v>
      </c>
      <c r="D324" s="165"/>
      <c r="E324" s="164"/>
      <c r="F324" s="209" t="e">
        <f>'TANK HARDWARE'!H420+P324</f>
        <v>#REF!</v>
      </c>
      <c r="G324" s="167"/>
      <c r="H324" s="167"/>
      <c r="I324" s="167"/>
      <c r="J324" s="167"/>
      <c r="K324" s="167"/>
      <c r="L324" s="168"/>
      <c r="N324" s="45" t="e">
        <f t="shared" si="25"/>
        <v>#REF!</v>
      </c>
      <c r="O324" s="45" t="e">
        <f>VLOOKUP(C324,#REF!,4,FALSE)</f>
        <v>#REF!</v>
      </c>
      <c r="P324" s="45">
        <f t="shared" si="26"/>
        <v>0</v>
      </c>
    </row>
    <row r="325" spans="2:16" s="45" customFormat="1" ht="12.75" hidden="1" customHeight="1" x14ac:dyDescent="0.25">
      <c r="B325" s="45" t="e">
        <f t="shared" si="22"/>
        <v>#REF!</v>
      </c>
      <c r="C325" s="208" t="e">
        <f>'TANK HARDWARE'!#REF!</f>
        <v>#REF!</v>
      </c>
      <c r="D325" s="165"/>
      <c r="E325" s="164"/>
      <c r="F325" s="209" t="e">
        <f>'TANK HARDWARE'!H421+P325</f>
        <v>#REF!</v>
      </c>
      <c r="G325" s="167"/>
      <c r="H325" s="167"/>
      <c r="I325" s="167"/>
      <c r="J325" s="167"/>
      <c r="K325" s="167"/>
      <c r="L325" s="168"/>
      <c r="N325" s="45" t="e">
        <f t="shared" si="25"/>
        <v>#REF!</v>
      </c>
      <c r="O325" s="45" t="e">
        <f>VLOOKUP(C325,#REF!,4,FALSE)</f>
        <v>#REF!</v>
      </c>
      <c r="P325" s="45">
        <f t="shared" si="26"/>
        <v>0</v>
      </c>
    </row>
    <row r="326" spans="2:16" s="45" customFormat="1" ht="12.75" hidden="1" customHeight="1" x14ac:dyDescent="0.25">
      <c r="B326" s="45" t="e">
        <f t="shared" si="22"/>
        <v>#REF!</v>
      </c>
      <c r="C326" s="208" t="e">
        <f>'TANK HARDWARE'!#REF!</f>
        <v>#REF!</v>
      </c>
      <c r="D326" s="165"/>
      <c r="E326" s="164"/>
      <c r="F326" s="209" t="e">
        <f>'TANK HARDWARE'!H422+P326</f>
        <v>#REF!</v>
      </c>
      <c r="G326" s="167"/>
      <c r="H326" s="167"/>
      <c r="I326" s="167"/>
      <c r="J326" s="167"/>
      <c r="K326" s="167"/>
      <c r="L326" s="168"/>
      <c r="N326" s="45" t="e">
        <f t="shared" si="25"/>
        <v>#REF!</v>
      </c>
      <c r="O326" s="45" t="e">
        <f>VLOOKUP(C326,#REF!,4,FALSE)</f>
        <v>#REF!</v>
      </c>
      <c r="P326" s="45">
        <f t="shared" si="26"/>
        <v>0</v>
      </c>
    </row>
    <row r="327" spans="2:16" s="45" customFormat="1" ht="12.75" hidden="1" customHeight="1" x14ac:dyDescent="0.25">
      <c r="B327" s="45" t="e">
        <f t="shared" si="22"/>
        <v>#REF!</v>
      </c>
      <c r="C327" s="208" t="e">
        <f>'TANK HARDWARE'!#REF!</f>
        <v>#REF!</v>
      </c>
      <c r="D327" s="165"/>
      <c r="E327" s="164"/>
      <c r="F327" s="209" t="e">
        <f>'TANK HARDWARE'!H423+P327</f>
        <v>#REF!</v>
      </c>
      <c r="G327" s="167"/>
      <c r="H327" s="167"/>
      <c r="I327" s="167"/>
      <c r="J327" s="167"/>
      <c r="K327" s="167"/>
      <c r="L327" s="168"/>
      <c r="N327" s="45" t="e">
        <f t="shared" si="25"/>
        <v>#REF!</v>
      </c>
      <c r="O327" s="45" t="e">
        <f>VLOOKUP(C327,#REF!,4,FALSE)</f>
        <v>#REF!</v>
      </c>
      <c r="P327" s="45">
        <f t="shared" si="26"/>
        <v>0</v>
      </c>
    </row>
    <row r="328" spans="2:16" s="45" customFormat="1" ht="12.75" hidden="1" customHeight="1" x14ac:dyDescent="0.25">
      <c r="B328" s="45" t="e">
        <f t="shared" si="22"/>
        <v>#REF!</v>
      </c>
      <c r="C328" s="208" t="e">
        <f>'TANK HARDWARE'!#REF!</f>
        <v>#REF!</v>
      </c>
      <c r="D328" s="165"/>
      <c r="E328" s="164"/>
      <c r="F328" s="209" t="e">
        <f>'TANK HARDWARE'!H424+P328</f>
        <v>#REF!</v>
      </c>
      <c r="G328" s="167"/>
      <c r="H328" s="167"/>
      <c r="I328" s="167"/>
      <c r="J328" s="167"/>
      <c r="K328" s="167"/>
      <c r="L328" s="168"/>
      <c r="N328" s="45" t="e">
        <f t="shared" si="25"/>
        <v>#REF!</v>
      </c>
      <c r="O328" s="45" t="e">
        <f>VLOOKUP(C328,#REF!,4,FALSE)</f>
        <v>#REF!</v>
      </c>
      <c r="P328" s="45">
        <f t="shared" si="26"/>
        <v>0</v>
      </c>
    </row>
    <row r="329" spans="2:16" s="45" customFormat="1" ht="12.75" hidden="1" customHeight="1" x14ac:dyDescent="0.25">
      <c r="B329" s="45" t="e">
        <f t="shared" si="22"/>
        <v>#REF!</v>
      </c>
      <c r="C329" s="208" t="e">
        <f>'TANK HARDWARE'!#REF!</f>
        <v>#REF!</v>
      </c>
      <c r="D329" s="165"/>
      <c r="E329" s="164"/>
      <c r="F329" s="209" t="e">
        <f>'TANK HARDWARE'!H425+P329</f>
        <v>#REF!</v>
      </c>
      <c r="G329" s="167"/>
      <c r="H329" s="167"/>
      <c r="I329" s="167"/>
      <c r="J329" s="167"/>
      <c r="K329" s="167"/>
      <c r="L329" s="168"/>
      <c r="N329" s="45" t="e">
        <f t="shared" si="25"/>
        <v>#REF!</v>
      </c>
      <c r="O329" s="45" t="e">
        <f>VLOOKUP(C329,#REF!,4,FALSE)</f>
        <v>#REF!</v>
      </c>
      <c r="P329" s="45">
        <f t="shared" si="26"/>
        <v>0</v>
      </c>
    </row>
    <row r="330" spans="2:16" s="45" customFormat="1" ht="12.75" hidden="1" customHeight="1" x14ac:dyDescent="0.25">
      <c r="B330" s="45" t="e">
        <f t="shared" si="22"/>
        <v>#REF!</v>
      </c>
      <c r="C330" s="208" t="e">
        <f>'TANK HARDWARE'!#REF!</f>
        <v>#REF!</v>
      </c>
      <c r="D330" s="165"/>
      <c r="E330" s="164"/>
      <c r="F330" s="209" t="e">
        <f>'TANK HARDWARE'!H426+P330</f>
        <v>#REF!</v>
      </c>
      <c r="G330" s="167"/>
      <c r="H330" s="167"/>
      <c r="I330" s="167"/>
      <c r="J330" s="167"/>
      <c r="K330" s="167"/>
      <c r="L330" s="168"/>
      <c r="N330" s="45" t="e">
        <f t="shared" si="25"/>
        <v>#REF!</v>
      </c>
      <c r="O330" s="45" t="e">
        <f>VLOOKUP(C330,#REF!,4,FALSE)</f>
        <v>#REF!</v>
      </c>
      <c r="P330" s="45">
        <f t="shared" si="26"/>
        <v>0</v>
      </c>
    </row>
    <row r="331" spans="2:16" s="45" customFormat="1" ht="12.75" hidden="1" customHeight="1" x14ac:dyDescent="0.25">
      <c r="B331" s="45" t="e">
        <f t="shared" ref="B331:B338" si="27">IF(N331=0,0,1)</f>
        <v>#REF!</v>
      </c>
      <c r="C331" s="208" t="e">
        <f>'TANK HARDWARE'!#REF!</f>
        <v>#REF!</v>
      </c>
      <c r="D331" s="165"/>
      <c r="E331" s="164"/>
      <c r="F331" s="209" t="e">
        <f>'TANK HARDWARE'!H427+P331</f>
        <v>#REF!</v>
      </c>
      <c r="G331" s="167"/>
      <c r="H331" s="167"/>
      <c r="I331" s="167"/>
      <c r="J331" s="167"/>
      <c r="K331" s="167"/>
      <c r="L331" s="168"/>
      <c r="N331" s="45" t="e">
        <f t="shared" si="25"/>
        <v>#REF!</v>
      </c>
      <c r="O331" s="45" t="e">
        <f>VLOOKUP(C331,#REF!,4,FALSE)</f>
        <v>#REF!</v>
      </c>
      <c r="P331" s="45">
        <f t="shared" si="26"/>
        <v>0</v>
      </c>
    </row>
    <row r="332" spans="2:16" s="45" customFormat="1" ht="12.75" hidden="1" customHeight="1" x14ac:dyDescent="0.25">
      <c r="B332" s="45" t="e">
        <f t="shared" si="27"/>
        <v>#REF!</v>
      </c>
      <c r="C332" s="208" t="e">
        <f>'TANK HARDWARE'!#REF!</f>
        <v>#REF!</v>
      </c>
      <c r="D332" s="165"/>
      <c r="E332" s="164"/>
      <c r="F332" s="209" t="e">
        <f>'TANK HARDWARE'!H428+P332</f>
        <v>#REF!</v>
      </c>
      <c r="G332" s="167"/>
      <c r="H332" s="167"/>
      <c r="I332" s="167"/>
      <c r="J332" s="167"/>
      <c r="K332" s="167"/>
      <c r="L332" s="168"/>
      <c r="N332" s="45" t="e">
        <f t="shared" si="25"/>
        <v>#REF!</v>
      </c>
      <c r="O332" s="45" t="e">
        <f>VLOOKUP(C332,#REF!,4,FALSE)</f>
        <v>#REF!</v>
      </c>
      <c r="P332" s="45">
        <f t="shared" si="26"/>
        <v>0</v>
      </c>
    </row>
    <row r="333" spans="2:16" s="45" customFormat="1" ht="12.75" hidden="1" customHeight="1" x14ac:dyDescent="0.25">
      <c r="B333" s="45" t="e">
        <f t="shared" si="27"/>
        <v>#REF!</v>
      </c>
      <c r="C333" s="208" t="e">
        <f>'TANK HARDWARE'!#REF!</f>
        <v>#REF!</v>
      </c>
      <c r="D333" s="165"/>
      <c r="E333" s="164"/>
      <c r="F333" s="209" t="e">
        <f>'TANK HARDWARE'!H429+P333</f>
        <v>#REF!</v>
      </c>
      <c r="G333" s="167"/>
      <c r="H333" s="167"/>
      <c r="I333" s="167"/>
      <c r="J333" s="167"/>
      <c r="K333" s="167"/>
      <c r="L333" s="168"/>
      <c r="N333" s="45" t="e">
        <f t="shared" si="25"/>
        <v>#REF!</v>
      </c>
      <c r="O333" s="45" t="e">
        <f>VLOOKUP(C333,#REF!,4,FALSE)</f>
        <v>#REF!</v>
      </c>
      <c r="P333" s="45">
        <f t="shared" si="26"/>
        <v>0</v>
      </c>
    </row>
    <row r="334" spans="2:16" s="45" customFormat="1" ht="12.75" hidden="1" customHeight="1" x14ac:dyDescent="0.25">
      <c r="B334" s="45" t="e">
        <f t="shared" si="27"/>
        <v>#REF!</v>
      </c>
      <c r="C334" s="208" t="e">
        <f>'TANK HARDWARE'!#REF!</f>
        <v>#REF!</v>
      </c>
      <c r="D334" s="165"/>
      <c r="E334" s="164"/>
      <c r="F334" s="209" t="e">
        <f>'TANK HARDWARE'!H430+P334</f>
        <v>#REF!</v>
      </c>
      <c r="G334" s="167"/>
      <c r="H334" s="167"/>
      <c r="I334" s="167"/>
      <c r="J334" s="167"/>
      <c r="K334" s="167"/>
      <c r="L334" s="168"/>
      <c r="N334" s="45" t="e">
        <f t="shared" si="25"/>
        <v>#REF!</v>
      </c>
      <c r="O334" s="45" t="e">
        <f>VLOOKUP(C334,#REF!,4,FALSE)</f>
        <v>#REF!</v>
      </c>
      <c r="P334" s="45">
        <f t="shared" si="26"/>
        <v>0</v>
      </c>
    </row>
    <row r="335" spans="2:16" s="45" customFormat="1" ht="12.75" hidden="1" customHeight="1" x14ac:dyDescent="0.25">
      <c r="B335" s="45" t="e">
        <f t="shared" si="27"/>
        <v>#REF!</v>
      </c>
      <c r="C335" s="208" t="e">
        <f>'TANK HARDWARE'!#REF!</f>
        <v>#REF!</v>
      </c>
      <c r="D335" s="165"/>
      <c r="E335" s="164"/>
      <c r="F335" s="209" t="e">
        <f>'TANK HARDWARE'!H431+P335</f>
        <v>#REF!</v>
      </c>
      <c r="G335" s="167"/>
      <c r="H335" s="167"/>
      <c r="I335" s="167"/>
      <c r="J335" s="167"/>
      <c r="K335" s="167"/>
      <c r="L335" s="168"/>
      <c r="N335" s="45" t="e">
        <f t="shared" si="25"/>
        <v>#REF!</v>
      </c>
      <c r="O335" s="45" t="e">
        <f>VLOOKUP(C335,#REF!,4,FALSE)</f>
        <v>#REF!</v>
      </c>
      <c r="P335" s="45">
        <f t="shared" si="26"/>
        <v>0</v>
      </c>
    </row>
    <row r="336" spans="2:16" s="45" customFormat="1" ht="12.75" hidden="1" customHeight="1" x14ac:dyDescent="0.25">
      <c r="B336" s="45" t="e">
        <f t="shared" si="27"/>
        <v>#REF!</v>
      </c>
      <c r="C336" s="208" t="e">
        <f>'TANK HARDWARE'!#REF!</f>
        <v>#REF!</v>
      </c>
      <c r="D336" s="165"/>
      <c r="E336" s="164"/>
      <c r="F336" s="209" t="e">
        <f>'TANK HARDWARE'!H432+P336</f>
        <v>#REF!</v>
      </c>
      <c r="G336" s="167"/>
      <c r="H336" s="167"/>
      <c r="I336" s="167"/>
      <c r="J336" s="167"/>
      <c r="K336" s="167"/>
      <c r="L336" s="168"/>
      <c r="N336" s="45" t="e">
        <f t="shared" si="25"/>
        <v>#REF!</v>
      </c>
      <c r="O336" s="45" t="e">
        <f>VLOOKUP(C336,#REF!,4,FALSE)</f>
        <v>#REF!</v>
      </c>
      <c r="P336" s="45">
        <f t="shared" si="26"/>
        <v>0</v>
      </c>
    </row>
    <row r="337" spans="2:14" ht="12.95" customHeight="1" x14ac:dyDescent="0.25">
      <c r="B337">
        <f t="shared" si="27"/>
        <v>1</v>
      </c>
      <c r="C337" s="216"/>
      <c r="D337" s="181"/>
      <c r="E337" s="181"/>
      <c r="F337" s="223"/>
      <c r="G337" s="181"/>
      <c r="H337" s="181"/>
      <c r="I337" s="181"/>
      <c r="J337" s="181"/>
      <c r="K337" s="181"/>
      <c r="L337" s="224"/>
      <c r="N337">
        <v>1</v>
      </c>
    </row>
    <row r="338" spans="2:14" ht="15.75" customHeight="1" thickBot="1" x14ac:dyDescent="0.3">
      <c r="B338">
        <f t="shared" si="27"/>
        <v>1</v>
      </c>
      <c r="C338" s="221"/>
      <c r="D338" s="222"/>
      <c r="E338" s="222"/>
      <c r="F338" s="241"/>
      <c r="G338" s="222"/>
      <c r="H338" s="222"/>
      <c r="I338" s="222"/>
      <c r="J338" s="222"/>
      <c r="K338" s="222"/>
      <c r="L338" s="242"/>
      <c r="N338">
        <v>1</v>
      </c>
    </row>
    <row r="339" spans="2:14" x14ac:dyDescent="0.25">
      <c r="C339" s="183"/>
      <c r="D339" s="181"/>
      <c r="E339" s="181"/>
      <c r="F339" s="198"/>
      <c r="G339" s="181"/>
      <c r="H339" s="181"/>
      <c r="I339" s="181"/>
      <c r="J339" s="181"/>
      <c r="K339" s="181"/>
      <c r="L339" s="181"/>
    </row>
    <row r="340" spans="2:14" ht="26.25" customHeight="1" x14ac:dyDescent="0.25">
      <c r="C340" s="243"/>
      <c r="D340" s="181"/>
      <c r="E340" s="181"/>
      <c r="F340" s="181"/>
      <c r="G340" s="181"/>
      <c r="H340" s="181"/>
      <c r="I340" s="181"/>
      <c r="J340" s="181"/>
      <c r="K340" s="181"/>
      <c r="L340" s="181"/>
    </row>
    <row r="342" spans="2:14" x14ac:dyDescent="0.25">
      <c r="C342" t="s">
        <v>752</v>
      </c>
      <c r="F342" t="s">
        <v>753</v>
      </c>
      <c r="J342" t="s">
        <v>754</v>
      </c>
    </row>
    <row r="343" spans="2:14" x14ac:dyDescent="0.25">
      <c r="C343" t="s">
        <v>755</v>
      </c>
      <c r="F343" t="s">
        <v>756</v>
      </c>
      <c r="J343" t="s">
        <v>757</v>
      </c>
    </row>
  </sheetData>
  <autoFilter ref="B11:B338" xr:uid="{00000000-0009-0000-0000-000004000000}">
    <filterColumn colId="0">
      <filters>
        <filter val="1"/>
      </filters>
    </filterColumn>
  </autoFilter>
  <mergeCells count="652">
    <mergeCell ref="C330:E330"/>
    <mergeCell ref="F252:L252"/>
    <mergeCell ref="F46:L46"/>
    <mergeCell ref="C94:E94"/>
    <mergeCell ref="C168:E168"/>
    <mergeCell ref="F121:L121"/>
    <mergeCell ref="C321:E321"/>
    <mergeCell ref="C255:E255"/>
    <mergeCell ref="F96:L96"/>
    <mergeCell ref="F167:L167"/>
    <mergeCell ref="F83:L83"/>
    <mergeCell ref="F68:L68"/>
    <mergeCell ref="F84:L84"/>
    <mergeCell ref="F76:L76"/>
    <mergeCell ref="F51:L51"/>
    <mergeCell ref="C238:E238"/>
    <mergeCell ref="C232:E232"/>
    <mergeCell ref="F48:L48"/>
    <mergeCell ref="C182:E182"/>
    <mergeCell ref="C169:E169"/>
    <mergeCell ref="F73:L73"/>
    <mergeCell ref="C233:E233"/>
    <mergeCell ref="F137:L137"/>
    <mergeCell ref="F69:L69"/>
    <mergeCell ref="F332:L332"/>
    <mergeCell ref="C242:E242"/>
    <mergeCell ref="C192:E192"/>
    <mergeCell ref="F98:L98"/>
    <mergeCell ref="C244:E244"/>
    <mergeCell ref="F175:L175"/>
    <mergeCell ref="C123:E123"/>
    <mergeCell ref="C194:E194"/>
    <mergeCell ref="F162:L162"/>
    <mergeCell ref="C181:E181"/>
    <mergeCell ref="F227:L227"/>
    <mergeCell ref="C285:E285"/>
    <mergeCell ref="F317:L317"/>
    <mergeCell ref="F111:L111"/>
    <mergeCell ref="C180:E180"/>
    <mergeCell ref="C118:E118"/>
    <mergeCell ref="C149:E149"/>
    <mergeCell ref="C235:E235"/>
    <mergeCell ref="C210:E210"/>
    <mergeCell ref="C185:E185"/>
    <mergeCell ref="F145:L145"/>
    <mergeCell ref="F272:L272"/>
    <mergeCell ref="C281:E281"/>
    <mergeCell ref="C280:E280"/>
    <mergeCell ref="F45:L45"/>
    <mergeCell ref="F238:L238"/>
    <mergeCell ref="C74:E74"/>
    <mergeCell ref="F188:L188"/>
    <mergeCell ref="F66:L66"/>
    <mergeCell ref="F126:L126"/>
    <mergeCell ref="F253:L253"/>
    <mergeCell ref="F109:L109"/>
    <mergeCell ref="F47:L47"/>
    <mergeCell ref="C128:E128"/>
    <mergeCell ref="F180:L180"/>
    <mergeCell ref="F240:L240"/>
    <mergeCell ref="C113:E113"/>
    <mergeCell ref="C103:E103"/>
    <mergeCell ref="C208:E208"/>
    <mergeCell ref="C248:E248"/>
    <mergeCell ref="C98:E98"/>
    <mergeCell ref="C85:E85"/>
    <mergeCell ref="F56:L56"/>
    <mergeCell ref="F105:L105"/>
    <mergeCell ref="C215:E215"/>
    <mergeCell ref="F232:L232"/>
    <mergeCell ref="C191:E191"/>
    <mergeCell ref="F229:L229"/>
    <mergeCell ref="C340:L340"/>
    <mergeCell ref="F208:L208"/>
    <mergeCell ref="C131:E131"/>
    <mergeCell ref="C258:E258"/>
    <mergeCell ref="C87:E87"/>
    <mergeCell ref="F201:L201"/>
    <mergeCell ref="F164:L164"/>
    <mergeCell ref="C245:E245"/>
    <mergeCell ref="F139:L139"/>
    <mergeCell ref="F335:L335"/>
    <mergeCell ref="F114:L114"/>
    <mergeCell ref="C195:E195"/>
    <mergeCell ref="C324:E324"/>
    <mergeCell ref="C213:E213"/>
    <mergeCell ref="F254:L254"/>
    <mergeCell ref="F290:L290"/>
    <mergeCell ref="F119:L119"/>
    <mergeCell ref="C150:E150"/>
    <mergeCell ref="F196:L196"/>
    <mergeCell ref="C144:E144"/>
    <mergeCell ref="F256:L256"/>
    <mergeCell ref="F112:L112"/>
    <mergeCell ref="F183:L183"/>
    <mergeCell ref="C190:E190"/>
    <mergeCell ref="C24:E24"/>
    <mergeCell ref="C266:E266"/>
    <mergeCell ref="C322:E322"/>
    <mergeCell ref="C260:E260"/>
    <mergeCell ref="C89:E89"/>
    <mergeCell ref="C116:E116"/>
    <mergeCell ref="F228:L228"/>
    <mergeCell ref="F203:L203"/>
    <mergeCell ref="C187:E187"/>
    <mergeCell ref="C259:E259"/>
    <mergeCell ref="C88:E88"/>
    <mergeCell ref="C197:E197"/>
    <mergeCell ref="C26:E26"/>
    <mergeCell ref="F243:L243"/>
    <mergeCell ref="F259:L259"/>
    <mergeCell ref="C261:E261"/>
    <mergeCell ref="C117:E117"/>
    <mergeCell ref="C55:E55"/>
    <mergeCell ref="F130:L130"/>
    <mergeCell ref="F261:L261"/>
    <mergeCell ref="F117:L117"/>
    <mergeCell ref="F92:L92"/>
    <mergeCell ref="C115:E115"/>
    <mergeCell ref="F132:L132"/>
    <mergeCell ref="F338:L338"/>
    <mergeCell ref="F186:L186"/>
    <mergeCell ref="C201:E201"/>
    <mergeCell ref="C90:E90"/>
    <mergeCell ref="C139:E139"/>
    <mergeCell ref="C332:E332"/>
    <mergeCell ref="F278:L278"/>
    <mergeCell ref="C188:E188"/>
    <mergeCell ref="F82:L82"/>
    <mergeCell ref="F269:L269"/>
    <mergeCell ref="C138:E138"/>
    <mergeCell ref="C193:E193"/>
    <mergeCell ref="C282:E282"/>
    <mergeCell ref="F293:L293"/>
    <mergeCell ref="C257:E257"/>
    <mergeCell ref="F88:L88"/>
    <mergeCell ref="F148:L148"/>
    <mergeCell ref="F275:L275"/>
    <mergeCell ref="F212:L212"/>
    <mergeCell ref="F146:L146"/>
    <mergeCell ref="F217:L217"/>
    <mergeCell ref="C165:E165"/>
    <mergeCell ref="F277:L277"/>
    <mergeCell ref="F304:L304"/>
    <mergeCell ref="I18:L18"/>
    <mergeCell ref="C141:E141"/>
    <mergeCell ref="C206:E206"/>
    <mergeCell ref="F141:L141"/>
    <mergeCell ref="C143:E143"/>
    <mergeCell ref="C270:E270"/>
    <mergeCell ref="F230:L230"/>
    <mergeCell ref="C99:E99"/>
    <mergeCell ref="C296:E296"/>
    <mergeCell ref="F91:L91"/>
    <mergeCell ref="F127:L127"/>
    <mergeCell ref="C140:E140"/>
    <mergeCell ref="C132:E132"/>
    <mergeCell ref="C203:E203"/>
    <mergeCell ref="C119:E119"/>
    <mergeCell ref="F38:L38"/>
    <mergeCell ref="C124:E124"/>
    <mergeCell ref="F67:L67"/>
    <mergeCell ref="C47:E47"/>
    <mergeCell ref="C40:E40"/>
    <mergeCell ref="C51:E51"/>
    <mergeCell ref="C71:E71"/>
    <mergeCell ref="F54:L54"/>
    <mergeCell ref="C45:E45"/>
    <mergeCell ref="F9:L9"/>
    <mergeCell ref="F161:L161"/>
    <mergeCell ref="F288:L288"/>
    <mergeCell ref="C59:E59"/>
    <mergeCell ref="C130:E130"/>
    <mergeCell ref="F136:L136"/>
    <mergeCell ref="C46:E46"/>
    <mergeCell ref="F207:L207"/>
    <mergeCell ref="F225:L225"/>
    <mergeCell ref="C61:E61"/>
    <mergeCell ref="C159:E159"/>
    <mergeCell ref="F271:L271"/>
    <mergeCell ref="C48:E48"/>
    <mergeCell ref="C153:E153"/>
    <mergeCell ref="F265:L265"/>
    <mergeCell ref="C224:E224"/>
    <mergeCell ref="F65:L65"/>
    <mergeCell ref="C219:E219"/>
    <mergeCell ref="C108:E108"/>
    <mergeCell ref="F160:L160"/>
    <mergeCell ref="F135:L135"/>
    <mergeCell ref="F190:L190"/>
    <mergeCell ref="C205:E205"/>
    <mergeCell ref="I16:L16"/>
    <mergeCell ref="F25:L25"/>
    <mergeCell ref="F30:L30"/>
    <mergeCell ref="F94:L94"/>
    <mergeCell ref="C27:E27"/>
    <mergeCell ref="C76:E76"/>
    <mergeCell ref="C229:E229"/>
    <mergeCell ref="F306:L306"/>
    <mergeCell ref="C77:E77"/>
    <mergeCell ref="C204:E204"/>
    <mergeCell ref="C275:E275"/>
    <mergeCell ref="F85:L85"/>
    <mergeCell ref="F300:L300"/>
    <mergeCell ref="F122:L122"/>
    <mergeCell ref="F224:L224"/>
    <mergeCell ref="F72:L72"/>
    <mergeCell ref="F199:L199"/>
    <mergeCell ref="C109:E109"/>
    <mergeCell ref="C34:E34"/>
    <mergeCell ref="F251:L251"/>
    <mergeCell ref="F189:L189"/>
    <mergeCell ref="C37:E37"/>
    <mergeCell ref="F220:L220"/>
    <mergeCell ref="F93:L93"/>
    <mergeCell ref="F149:L149"/>
    <mergeCell ref="C36:E36"/>
    <mergeCell ref="C278:E278"/>
    <mergeCell ref="F182:L182"/>
    <mergeCell ref="C67:E67"/>
    <mergeCell ref="F246:L246"/>
    <mergeCell ref="F40:L40"/>
    <mergeCell ref="F233:L233"/>
    <mergeCell ref="C69:E69"/>
    <mergeCell ref="C96:E96"/>
    <mergeCell ref="C62:E62"/>
    <mergeCell ref="C161:E161"/>
    <mergeCell ref="C217:E217"/>
    <mergeCell ref="C174:E174"/>
    <mergeCell ref="C189:E189"/>
    <mergeCell ref="F209:L209"/>
    <mergeCell ref="F274:L274"/>
    <mergeCell ref="F211:L211"/>
    <mergeCell ref="C216:E216"/>
    <mergeCell ref="C254:E254"/>
    <mergeCell ref="C256:E256"/>
    <mergeCell ref="F273:L273"/>
    <mergeCell ref="F249:L249"/>
    <mergeCell ref="C241:E241"/>
    <mergeCell ref="F195:L195"/>
    <mergeCell ref="F106:L106"/>
    <mergeCell ref="C64:E64"/>
    <mergeCell ref="C306:E306"/>
    <mergeCell ref="F81:L81"/>
    <mergeCell ref="C93:E93"/>
    <mergeCell ref="F61:L61"/>
    <mergeCell ref="C167:E167"/>
    <mergeCell ref="F80:L80"/>
    <mergeCell ref="F213:L213"/>
    <mergeCell ref="C158:E158"/>
    <mergeCell ref="F223:L223"/>
    <mergeCell ref="C283:E283"/>
    <mergeCell ref="F287:L287"/>
    <mergeCell ref="F285:L285"/>
    <mergeCell ref="F216:L216"/>
    <mergeCell ref="F133:L133"/>
    <mergeCell ref="C125:E125"/>
    <mergeCell ref="F202:L202"/>
    <mergeCell ref="C157:E157"/>
    <mergeCell ref="C137:E137"/>
    <mergeCell ref="C134:E134"/>
    <mergeCell ref="C293:E293"/>
    <mergeCell ref="F281:L281"/>
    <mergeCell ref="C154:E154"/>
    <mergeCell ref="K5:L5"/>
    <mergeCell ref="C214:E214"/>
    <mergeCell ref="I19:L19"/>
    <mergeCell ref="F151:L151"/>
    <mergeCell ref="C25:E25"/>
    <mergeCell ref="F31:L31"/>
    <mergeCell ref="I22:L22"/>
    <mergeCell ref="F42:L42"/>
    <mergeCell ref="F28:L28"/>
    <mergeCell ref="C112:E112"/>
    <mergeCell ref="C84:E84"/>
    <mergeCell ref="C133:E133"/>
    <mergeCell ref="C127:E127"/>
    <mergeCell ref="I13:L13"/>
    <mergeCell ref="K7:L7"/>
    <mergeCell ref="F214:L214"/>
    <mergeCell ref="C212:E212"/>
    <mergeCell ref="F155:L155"/>
    <mergeCell ref="I17:L17"/>
    <mergeCell ref="C111:E111"/>
    <mergeCell ref="C86:E86"/>
    <mergeCell ref="F173:L173"/>
    <mergeCell ref="C83:E83"/>
    <mergeCell ref="C207:E207"/>
    <mergeCell ref="C335:E335"/>
    <mergeCell ref="C291:E291"/>
    <mergeCell ref="F226:L226"/>
    <mergeCell ref="C222:E222"/>
    <mergeCell ref="C251:E251"/>
    <mergeCell ref="F157:L157"/>
    <mergeCell ref="F328:L328"/>
    <mergeCell ref="F234:L234"/>
    <mergeCell ref="C317:E317"/>
    <mergeCell ref="C304:E304"/>
    <mergeCell ref="C303:E303"/>
    <mergeCell ref="F296:L296"/>
    <mergeCell ref="F177:L177"/>
    <mergeCell ref="F248:L248"/>
    <mergeCell ref="F297:L297"/>
    <mergeCell ref="F235:L235"/>
    <mergeCell ref="F323:L323"/>
    <mergeCell ref="F327:L327"/>
    <mergeCell ref="C334:E334"/>
    <mergeCell ref="C176:E176"/>
    <mergeCell ref="C327:E327"/>
    <mergeCell ref="F158:L158"/>
    <mergeCell ref="C279:E279"/>
    <mergeCell ref="C295:E295"/>
    <mergeCell ref="F5:G7"/>
    <mergeCell ref="F171:L171"/>
    <mergeCell ref="C243:E243"/>
    <mergeCell ref="F267:L267"/>
    <mergeCell ref="C101:E101"/>
    <mergeCell ref="F242:L242"/>
    <mergeCell ref="F204:L204"/>
    <mergeCell ref="F33:L33"/>
    <mergeCell ref="F198:L198"/>
    <mergeCell ref="F8:L8"/>
    <mergeCell ref="F244:L244"/>
    <mergeCell ref="F75:L75"/>
    <mergeCell ref="F231:L231"/>
    <mergeCell ref="F262:L262"/>
    <mergeCell ref="C246:E246"/>
    <mergeCell ref="F62:L62"/>
    <mergeCell ref="I5:J5"/>
    <mergeCell ref="F247:L247"/>
    <mergeCell ref="F125:L125"/>
    <mergeCell ref="F185:L185"/>
    <mergeCell ref="C58:E58"/>
    <mergeCell ref="C162:E162"/>
    <mergeCell ref="C227:E227"/>
    <mergeCell ref="C177:E177"/>
    <mergeCell ref="F337:L337"/>
    <mergeCell ref="C178:E178"/>
    <mergeCell ref="I7:J7"/>
    <mergeCell ref="F64:L64"/>
    <mergeCell ref="F257:L257"/>
    <mergeCell ref="F191:L191"/>
    <mergeCell ref="C272:E272"/>
    <mergeCell ref="F178:L178"/>
    <mergeCell ref="F128:L128"/>
    <mergeCell ref="C38:E38"/>
    <mergeCell ref="C209:E209"/>
    <mergeCell ref="F255:L255"/>
    <mergeCell ref="C249:E249"/>
    <mergeCell ref="F192:L192"/>
    <mergeCell ref="C267:E267"/>
    <mergeCell ref="C328:E328"/>
    <mergeCell ref="C262:E262"/>
    <mergeCell ref="F78:L78"/>
    <mergeCell ref="F103:L103"/>
    <mergeCell ref="C122:E122"/>
    <mergeCell ref="C247:E247"/>
    <mergeCell ref="F52:L52"/>
    <mergeCell ref="F294:L294"/>
    <mergeCell ref="F37:L37"/>
    <mergeCell ref="C338:E338"/>
    <mergeCell ref="C313:E313"/>
    <mergeCell ref="C33:E33"/>
    <mergeCell ref="F194:L194"/>
    <mergeCell ref="C104:E104"/>
    <mergeCell ref="F50:L50"/>
    <mergeCell ref="C269:E269"/>
    <mergeCell ref="F110:L110"/>
    <mergeCell ref="F181:L181"/>
    <mergeCell ref="C79:E79"/>
    <mergeCell ref="C73:E73"/>
    <mergeCell ref="C315:E315"/>
    <mergeCell ref="C231:E231"/>
    <mergeCell ref="C35:E35"/>
    <mergeCell ref="C302:E302"/>
    <mergeCell ref="C333:E333"/>
    <mergeCell ref="C121:E121"/>
    <mergeCell ref="C173:E173"/>
    <mergeCell ref="F333:L333"/>
    <mergeCell ref="F270:L270"/>
    <mergeCell ref="C152:E152"/>
    <mergeCell ref="F49:L49"/>
    <mergeCell ref="F299:L299"/>
    <mergeCell ref="C135:E135"/>
    <mergeCell ref="F339:L339"/>
    <mergeCell ref="I11:L11"/>
    <mergeCell ref="F314:L314"/>
    <mergeCell ref="C72:E72"/>
    <mergeCell ref="C28:E28"/>
    <mergeCell ref="C199:E199"/>
    <mergeCell ref="C326:E326"/>
    <mergeCell ref="C186:E186"/>
    <mergeCell ref="F55:L55"/>
    <mergeCell ref="C136:E136"/>
    <mergeCell ref="C263:E263"/>
    <mergeCell ref="C92:E92"/>
    <mergeCell ref="C30:E30"/>
    <mergeCell ref="F169:L169"/>
    <mergeCell ref="F129:L129"/>
    <mergeCell ref="F200:L200"/>
    <mergeCell ref="C54:E54"/>
    <mergeCell ref="F71:L71"/>
    <mergeCell ref="F131:L131"/>
    <mergeCell ref="C41:E41"/>
    <mergeCell ref="F205:L205"/>
    <mergeCell ref="F74:L74"/>
    <mergeCell ref="C155:E155"/>
    <mergeCell ref="C239:E239"/>
    <mergeCell ref="I12:L12"/>
    <mergeCell ref="F144:L144"/>
    <mergeCell ref="F215:L215"/>
    <mergeCell ref="C29:E29"/>
    <mergeCell ref="C200:E200"/>
    <mergeCell ref="C100:E100"/>
    <mergeCell ref="C65:E65"/>
    <mergeCell ref="C49:E49"/>
    <mergeCell ref="F138:L138"/>
    <mergeCell ref="I20:L20"/>
    <mergeCell ref="F152:L152"/>
    <mergeCell ref="F206:L206"/>
    <mergeCell ref="F29:L29"/>
    <mergeCell ref="F60:L60"/>
    <mergeCell ref="F39:L39"/>
    <mergeCell ref="C66:E66"/>
    <mergeCell ref="F41:L41"/>
    <mergeCell ref="F35:L35"/>
    <mergeCell ref="F34:L34"/>
    <mergeCell ref="C68:E68"/>
    <mergeCell ref="F79:L79"/>
    <mergeCell ref="C120:E120"/>
    <mergeCell ref="C110:E110"/>
    <mergeCell ref="F197:L197"/>
    <mergeCell ref="F57:L57"/>
    <mergeCell ref="C336:E336"/>
    <mergeCell ref="C331:E331"/>
    <mergeCell ref="F116:L116"/>
    <mergeCell ref="F187:L187"/>
    <mergeCell ref="F174:L174"/>
    <mergeCell ref="F108:L108"/>
    <mergeCell ref="F168:L168"/>
    <mergeCell ref="C42:E42"/>
    <mergeCell ref="C52:E52"/>
    <mergeCell ref="C43:E43"/>
    <mergeCell ref="C114:E114"/>
    <mergeCell ref="C56:E56"/>
    <mergeCell ref="C105:E105"/>
    <mergeCell ref="F95:L95"/>
    <mergeCell ref="C126:E126"/>
    <mergeCell ref="F150:L150"/>
    <mergeCell ref="F172:L172"/>
    <mergeCell ref="C146:E146"/>
    <mergeCell ref="F58:L58"/>
    <mergeCell ref="F63:L63"/>
    <mergeCell ref="F124:L124"/>
    <mergeCell ref="F99:L99"/>
    <mergeCell ref="C57:E57"/>
    <mergeCell ref="I14:L14"/>
    <mergeCell ref="C44:E44"/>
    <mergeCell ref="C142:E142"/>
    <mergeCell ref="C202:E202"/>
    <mergeCell ref="C31:E31"/>
    <mergeCell ref="C80:E80"/>
    <mergeCell ref="C329:E329"/>
    <mergeCell ref="C129:E129"/>
    <mergeCell ref="F210:L210"/>
    <mergeCell ref="C95:E95"/>
    <mergeCell ref="C60:E60"/>
    <mergeCell ref="F266:L266"/>
    <mergeCell ref="F241:L241"/>
    <mergeCell ref="C268:E268"/>
    <mergeCell ref="F284:L284"/>
    <mergeCell ref="C91:E91"/>
    <mergeCell ref="F53:L53"/>
    <mergeCell ref="F43:L43"/>
    <mergeCell ref="F176:L176"/>
    <mergeCell ref="F170:L170"/>
    <mergeCell ref="F120:L120"/>
    <mergeCell ref="F107:L107"/>
    <mergeCell ref="C39:E39"/>
    <mergeCell ref="C70:E70"/>
    <mergeCell ref="C337:E337"/>
    <mergeCell ref="C312:E312"/>
    <mergeCell ref="F87:L87"/>
    <mergeCell ref="F280:L280"/>
    <mergeCell ref="C318:E318"/>
    <mergeCell ref="C300:E300"/>
    <mergeCell ref="F295:L295"/>
    <mergeCell ref="F239:L239"/>
    <mergeCell ref="F237:L237"/>
    <mergeCell ref="C252:E252"/>
    <mergeCell ref="C271:E271"/>
    <mergeCell ref="C265:E265"/>
    <mergeCell ref="F279:L279"/>
    <mergeCell ref="C273:E273"/>
    <mergeCell ref="F260:L260"/>
    <mergeCell ref="C237:E237"/>
    <mergeCell ref="F104:L104"/>
    <mergeCell ref="F221:L221"/>
    <mergeCell ref="F143:L143"/>
    <mergeCell ref="C151:E151"/>
    <mergeCell ref="F258:L258"/>
    <mergeCell ref="C277:E277"/>
    <mergeCell ref="F245:L245"/>
    <mergeCell ref="C253:E253"/>
    <mergeCell ref="I15:L15"/>
    <mergeCell ref="C106:E106"/>
    <mergeCell ref="F147:L147"/>
    <mergeCell ref="F218:L218"/>
    <mergeCell ref="C32:E32"/>
    <mergeCell ref="F193:L193"/>
    <mergeCell ref="C81:E81"/>
    <mergeCell ref="C236:E236"/>
    <mergeCell ref="F77:L77"/>
    <mergeCell ref="C163:E163"/>
    <mergeCell ref="C223:E223"/>
    <mergeCell ref="F166:L166"/>
    <mergeCell ref="F24:L24"/>
    <mergeCell ref="C198:E198"/>
    <mergeCell ref="F32:L32"/>
    <mergeCell ref="C183:E183"/>
    <mergeCell ref="F86:L86"/>
    <mergeCell ref="F142:L142"/>
    <mergeCell ref="F134:L134"/>
    <mergeCell ref="C220:E220"/>
    <mergeCell ref="I21:L21"/>
    <mergeCell ref="C53:E53"/>
    <mergeCell ref="C102:E102"/>
    <mergeCell ref="F118:L118"/>
    <mergeCell ref="C339:E339"/>
    <mergeCell ref="F89:L89"/>
    <mergeCell ref="C170:E170"/>
    <mergeCell ref="F309:L309"/>
    <mergeCell ref="F305:L305"/>
    <mergeCell ref="C145:E145"/>
    <mergeCell ref="F36:L36"/>
    <mergeCell ref="F307:L307"/>
    <mergeCell ref="F163:L163"/>
    <mergeCell ref="F334:L334"/>
    <mergeCell ref="F101:L101"/>
    <mergeCell ref="F100:L100"/>
    <mergeCell ref="F165:L165"/>
    <mergeCell ref="F336:L336"/>
    <mergeCell ref="C63:E63"/>
    <mergeCell ref="C305:E305"/>
    <mergeCell ref="F140:L140"/>
    <mergeCell ref="C221:E221"/>
    <mergeCell ref="C50:E50"/>
    <mergeCell ref="F115:L115"/>
    <mergeCell ref="F311:L311"/>
    <mergeCell ref="C286:E286"/>
    <mergeCell ref="F102:L102"/>
    <mergeCell ref="F44:L44"/>
    <mergeCell ref="F26:L26"/>
    <mergeCell ref="C107:E107"/>
    <mergeCell ref="F268:L268"/>
    <mergeCell ref="C234:E234"/>
    <mergeCell ref="F97:L97"/>
    <mergeCell ref="F153:L153"/>
    <mergeCell ref="F159:L159"/>
    <mergeCell ref="C172:E172"/>
    <mergeCell ref="F219:L219"/>
    <mergeCell ref="C184:E184"/>
    <mergeCell ref="C147:E147"/>
    <mergeCell ref="F90:L90"/>
    <mergeCell ref="C171:E171"/>
    <mergeCell ref="F184:L184"/>
    <mergeCell ref="C211:E211"/>
    <mergeCell ref="C264:E264"/>
    <mergeCell ref="C75:E75"/>
    <mergeCell ref="C82:E82"/>
    <mergeCell ref="F27:L27"/>
    <mergeCell ref="C148:E148"/>
    <mergeCell ref="F123:L123"/>
    <mergeCell ref="F156:L156"/>
    <mergeCell ref="C164:E164"/>
    <mergeCell ref="C228:E228"/>
    <mergeCell ref="F331:L331"/>
    <mergeCell ref="F113:L113"/>
    <mergeCell ref="F329:L329"/>
    <mergeCell ref="F316:L316"/>
    <mergeCell ref="F59:L59"/>
    <mergeCell ref="F301:L301"/>
    <mergeCell ref="C78:E78"/>
    <mergeCell ref="F308:L308"/>
    <mergeCell ref="C292:E292"/>
    <mergeCell ref="C307:E307"/>
    <mergeCell ref="C196:E196"/>
    <mergeCell ref="F318:L318"/>
    <mergeCell ref="F312:L312"/>
    <mergeCell ref="C297:E297"/>
    <mergeCell ref="F313:L313"/>
    <mergeCell ref="C299:E299"/>
    <mergeCell ref="F326:L326"/>
    <mergeCell ref="C160:E160"/>
    <mergeCell ref="F70:L70"/>
    <mergeCell ref="F263:L263"/>
    <mergeCell ref="C240:E240"/>
    <mergeCell ref="C97:E97"/>
    <mergeCell ref="C290:E290"/>
    <mergeCell ref="F330:L330"/>
    <mergeCell ref="F154:L154"/>
    <mergeCell ref="C310:E310"/>
    <mergeCell ref="C166:E166"/>
    <mergeCell ref="C289:E289"/>
    <mergeCell ref="C314:E314"/>
    <mergeCell ref="F282:L282"/>
    <mergeCell ref="F179:L179"/>
    <mergeCell ref="F250:L250"/>
    <mergeCell ref="C288:E288"/>
    <mergeCell ref="F289:L289"/>
    <mergeCell ref="C301:E301"/>
    <mergeCell ref="C311:E311"/>
    <mergeCell ref="C284:E284"/>
    <mergeCell ref="C156:E156"/>
    <mergeCell ref="F291:L291"/>
    <mergeCell ref="C250:E250"/>
    <mergeCell ref="C225:E225"/>
    <mergeCell ref="C218:E218"/>
    <mergeCell ref="C274:E274"/>
    <mergeCell ref="F222:L222"/>
    <mergeCell ref="C175:E175"/>
    <mergeCell ref="C226:E226"/>
    <mergeCell ref="F276:L276"/>
    <mergeCell ref="F264:L264"/>
    <mergeCell ref="F325:L325"/>
    <mergeCell ref="C325:E325"/>
    <mergeCell ref="C320:E320"/>
    <mergeCell ref="F320:L320"/>
    <mergeCell ref="F322:L322"/>
    <mergeCell ref="C319:E319"/>
    <mergeCell ref="F303:L303"/>
    <mergeCell ref="C308:E308"/>
    <mergeCell ref="F310:L310"/>
    <mergeCell ref="C230:E230"/>
    <mergeCell ref="C276:E276"/>
    <mergeCell ref="C179:E179"/>
    <mergeCell ref="F236:L236"/>
    <mergeCell ref="F302:L302"/>
    <mergeCell ref="C316:E316"/>
    <mergeCell ref="C309:E309"/>
    <mergeCell ref="F315:L315"/>
    <mergeCell ref="F324:L324"/>
    <mergeCell ref="C323:E323"/>
    <mergeCell ref="F283:L283"/>
    <mergeCell ref="C298:E298"/>
    <mergeCell ref="F321:L321"/>
    <mergeCell ref="F319:L319"/>
    <mergeCell ref="F292:L292"/>
    <mergeCell ref="F286:L286"/>
    <mergeCell ref="C294:E294"/>
    <mergeCell ref="C287:E287"/>
    <mergeCell ref="F298:L298"/>
  </mergeCells>
  <printOptions horizontalCentered="1"/>
  <pageMargins left="0.70866141732283472" right="0.70866141732283472" top="0.74803149606299213" bottom="0.74803149606299213" header="0.31496062992125978" footer="0.31496062992125978"/>
  <pageSetup paperSize="9" scale="8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PRINTPROTECTEDOUTPUT">
                <anchor moveWithCells="1" sizeWithCells="1">
                  <from>
                    <xdr:col>5</xdr:col>
                    <xdr:colOff>0</xdr:colOff>
                    <xdr:row>0</xdr:row>
                    <xdr:rowOff>171450</xdr:rowOff>
                  </from>
                  <to>
                    <xdr:col>11</xdr:col>
                    <xdr:colOff>104775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2:Q159"/>
  <sheetViews>
    <sheetView workbookViewId="0">
      <selection activeCell="C170" sqref="C170"/>
    </sheetView>
  </sheetViews>
  <sheetFormatPr defaultRowHeight="15" x14ac:dyDescent="0.25"/>
  <cols>
    <col min="2" max="2" width="30.140625" customWidth="1"/>
    <col min="4" max="4" width="7.140625" bestFit="1" customWidth="1"/>
    <col min="5" max="5" width="8.28515625" customWidth="1"/>
    <col min="6" max="6" width="7.28515625" customWidth="1"/>
    <col min="7" max="7" width="7.42578125" customWidth="1"/>
    <col min="8" max="9" width="6.28515625" customWidth="1"/>
    <col min="10" max="10" width="7.7109375" customWidth="1"/>
    <col min="11" max="11" width="5.5703125" customWidth="1"/>
    <col min="12" max="12" width="7" customWidth="1"/>
    <col min="13" max="13" width="9.85546875" customWidth="1"/>
  </cols>
  <sheetData>
    <row r="2" spans="2:17" x14ac:dyDescent="0.25">
      <c r="B2" s="6" t="s">
        <v>758</v>
      </c>
    </row>
    <row r="3" spans="2:17" x14ac:dyDescent="0.25">
      <c r="B3" t="s">
        <v>759</v>
      </c>
    </row>
    <row r="4" spans="2:17" ht="14.45" customHeight="1" thickBot="1" x14ac:dyDescent="0.3">
      <c r="B4" t="s">
        <v>760</v>
      </c>
      <c r="J4">
        <v>7</v>
      </c>
      <c r="K4">
        <v>8</v>
      </c>
      <c r="L4">
        <v>9</v>
      </c>
      <c r="M4">
        <v>10</v>
      </c>
      <c r="N4">
        <v>11</v>
      </c>
      <c r="O4">
        <v>12</v>
      </c>
      <c r="P4">
        <v>13</v>
      </c>
      <c r="Q4">
        <v>14</v>
      </c>
    </row>
    <row r="5" spans="2:17" ht="24.6" customHeight="1" x14ac:dyDescent="0.25">
      <c r="B5" t="s">
        <v>761</v>
      </c>
      <c r="D5" s="10" t="s">
        <v>762</v>
      </c>
      <c r="E5" s="11" t="s">
        <v>763</v>
      </c>
      <c r="F5" s="11" t="s">
        <v>764</v>
      </c>
      <c r="G5" s="11" t="s">
        <v>765</v>
      </c>
      <c r="H5" s="11" t="s">
        <v>766</v>
      </c>
      <c r="I5" s="11" t="s">
        <v>767</v>
      </c>
      <c r="J5" s="12" t="s">
        <v>768</v>
      </c>
      <c r="K5" s="12" t="s">
        <v>769</v>
      </c>
      <c r="L5" s="12" t="s">
        <v>770</v>
      </c>
      <c r="M5" s="12" t="s">
        <v>771</v>
      </c>
      <c r="N5" s="13" t="s">
        <v>772</v>
      </c>
      <c r="O5" s="14" t="s">
        <v>773</v>
      </c>
      <c r="P5" s="48" t="s">
        <v>774</v>
      </c>
      <c r="Q5" s="48" t="s">
        <v>775</v>
      </c>
    </row>
    <row r="6" spans="2:17" x14ac:dyDescent="0.25">
      <c r="B6" t="s">
        <v>776</v>
      </c>
      <c r="D6" s="15" t="s">
        <v>17</v>
      </c>
      <c r="E6" s="8">
        <v>5.6</v>
      </c>
      <c r="F6" s="8">
        <f>0.5*5</f>
        <v>2.5</v>
      </c>
      <c r="G6" s="8">
        <v>1.1000000000000001</v>
      </c>
      <c r="H6" s="8">
        <v>1.1000000000000001</v>
      </c>
      <c r="I6" s="8">
        <f>2*0.8</f>
        <v>1.6</v>
      </c>
      <c r="J6">
        <f t="shared" ref="J6:J18" si="0">E6+G6+G6+I6</f>
        <v>9.3999999999999986</v>
      </c>
      <c r="K6">
        <f t="shared" ref="K6:K18" si="1">E6+G6+I6</f>
        <v>8.2999999999999989</v>
      </c>
      <c r="L6">
        <f t="shared" ref="L6:L18" si="2">E6+F6+G6+G6+I6</f>
        <v>11.899999999999999</v>
      </c>
      <c r="M6">
        <f t="shared" ref="M6:M18" si="3">E6+E6+G6+G6+I6+I6</f>
        <v>16.599999999999998</v>
      </c>
      <c r="O6" s="16">
        <f t="shared" ref="O6:O18" si="4">E6+G6+G6+H6+I6</f>
        <v>10.499999999999998</v>
      </c>
      <c r="P6">
        <f t="shared" ref="P6:P18" si="5">E6+G6+G6+H6+H6+I6</f>
        <v>11.599999999999998</v>
      </c>
      <c r="Q6">
        <f t="shared" ref="Q6:Q18" si="6">G6+H6</f>
        <v>2.2000000000000002</v>
      </c>
    </row>
    <row r="7" spans="2:17" x14ac:dyDescent="0.25">
      <c r="B7" t="s">
        <v>777</v>
      </c>
      <c r="D7" s="17" t="s">
        <v>18</v>
      </c>
      <c r="E7" s="8">
        <v>6.4</v>
      </c>
      <c r="F7" s="8">
        <f>0.5*6</f>
        <v>3</v>
      </c>
      <c r="G7" s="8">
        <v>1.8</v>
      </c>
      <c r="H7" s="8">
        <v>1.5</v>
      </c>
      <c r="I7" s="8">
        <f>2*1</f>
        <v>2</v>
      </c>
      <c r="J7">
        <f t="shared" si="0"/>
        <v>12.000000000000002</v>
      </c>
      <c r="K7">
        <f t="shared" si="1"/>
        <v>10.200000000000001</v>
      </c>
      <c r="L7">
        <f t="shared" si="2"/>
        <v>15.000000000000002</v>
      </c>
      <c r="M7">
        <f t="shared" si="3"/>
        <v>20.400000000000002</v>
      </c>
      <c r="O7" s="16">
        <f t="shared" si="4"/>
        <v>13.500000000000002</v>
      </c>
      <c r="P7">
        <f t="shared" si="5"/>
        <v>15.000000000000002</v>
      </c>
      <c r="Q7">
        <f t="shared" si="6"/>
        <v>3.3</v>
      </c>
    </row>
    <row r="8" spans="2:17" x14ac:dyDescent="0.25">
      <c r="B8" t="s">
        <v>659</v>
      </c>
      <c r="D8" s="17" t="s">
        <v>19</v>
      </c>
      <c r="E8" s="8">
        <v>7.9</v>
      </c>
      <c r="F8" s="8">
        <f>0.5*8</f>
        <v>4</v>
      </c>
      <c r="G8" s="8">
        <v>1.8</v>
      </c>
      <c r="H8" s="8">
        <v>1.9</v>
      </c>
      <c r="I8" s="8">
        <f>2*1.25</f>
        <v>2.5</v>
      </c>
      <c r="J8">
        <f t="shared" si="0"/>
        <v>14.000000000000002</v>
      </c>
      <c r="K8">
        <f t="shared" si="1"/>
        <v>12.200000000000001</v>
      </c>
      <c r="L8">
        <f t="shared" si="2"/>
        <v>18</v>
      </c>
      <c r="M8">
        <f t="shared" si="3"/>
        <v>24.400000000000002</v>
      </c>
      <c r="O8" s="16">
        <f t="shared" si="4"/>
        <v>15.900000000000002</v>
      </c>
      <c r="P8">
        <f t="shared" si="5"/>
        <v>17.800000000000004</v>
      </c>
      <c r="Q8">
        <f t="shared" si="6"/>
        <v>3.7</v>
      </c>
    </row>
    <row r="9" spans="2:17" x14ac:dyDescent="0.25">
      <c r="B9" t="s">
        <v>721</v>
      </c>
      <c r="D9" s="17" t="s">
        <v>20</v>
      </c>
      <c r="E9" s="8">
        <v>9.5</v>
      </c>
      <c r="F9" s="8">
        <f>0.5*10</f>
        <v>5</v>
      </c>
      <c r="G9" s="8">
        <v>2.2000000000000002</v>
      </c>
      <c r="H9" s="8">
        <v>2.0499999999999998</v>
      </c>
      <c r="I9" s="8">
        <f>2*1.5</f>
        <v>3</v>
      </c>
      <c r="J9">
        <f t="shared" si="0"/>
        <v>16.899999999999999</v>
      </c>
      <c r="K9">
        <f t="shared" si="1"/>
        <v>14.7</v>
      </c>
      <c r="L9">
        <f t="shared" si="2"/>
        <v>21.9</v>
      </c>
      <c r="M9">
        <f t="shared" si="3"/>
        <v>29.4</v>
      </c>
      <c r="O9" s="16">
        <f t="shared" si="4"/>
        <v>18.95</v>
      </c>
      <c r="P9">
        <f t="shared" si="5"/>
        <v>21</v>
      </c>
      <c r="Q9">
        <f t="shared" si="6"/>
        <v>4.25</v>
      </c>
    </row>
    <row r="10" spans="2:17" x14ac:dyDescent="0.25">
      <c r="B10" t="s">
        <v>778</v>
      </c>
      <c r="D10" s="17" t="s">
        <v>21</v>
      </c>
      <c r="E10" s="8">
        <v>12.2</v>
      </c>
      <c r="F10" s="8">
        <f>0.5*12</f>
        <v>6</v>
      </c>
      <c r="G10" s="8">
        <v>2.7</v>
      </c>
      <c r="H10" s="8">
        <v>2.35</v>
      </c>
      <c r="I10" s="8">
        <f>2*1.75</f>
        <v>3.5</v>
      </c>
      <c r="J10">
        <f t="shared" si="0"/>
        <v>21.099999999999998</v>
      </c>
      <c r="K10">
        <f t="shared" si="1"/>
        <v>18.399999999999999</v>
      </c>
      <c r="L10">
        <f t="shared" si="2"/>
        <v>27.099999999999998</v>
      </c>
      <c r="M10">
        <f t="shared" si="3"/>
        <v>36.799999999999997</v>
      </c>
      <c r="O10" s="16">
        <f t="shared" si="4"/>
        <v>23.45</v>
      </c>
      <c r="P10">
        <f t="shared" si="5"/>
        <v>25.8</v>
      </c>
      <c r="Q10">
        <f t="shared" si="6"/>
        <v>5.0500000000000007</v>
      </c>
    </row>
    <row r="11" spans="2:17" x14ac:dyDescent="0.25">
      <c r="B11" t="s">
        <v>779</v>
      </c>
      <c r="D11" s="17" t="s">
        <v>22</v>
      </c>
      <c r="E11" s="8">
        <v>15.9</v>
      </c>
      <c r="F11" s="8">
        <v>8</v>
      </c>
      <c r="G11" s="8">
        <v>3.3</v>
      </c>
      <c r="H11" s="8">
        <v>3.3</v>
      </c>
      <c r="I11" s="8">
        <f>2*2</f>
        <v>4</v>
      </c>
      <c r="J11">
        <f t="shared" si="0"/>
        <v>26.5</v>
      </c>
      <c r="K11">
        <f t="shared" si="1"/>
        <v>23.2</v>
      </c>
      <c r="L11">
        <f t="shared" si="2"/>
        <v>34.5</v>
      </c>
      <c r="M11">
        <f t="shared" si="3"/>
        <v>46.4</v>
      </c>
      <c r="O11" s="16">
        <f t="shared" si="4"/>
        <v>29.8</v>
      </c>
      <c r="P11">
        <f t="shared" si="5"/>
        <v>33.1</v>
      </c>
      <c r="Q11">
        <f t="shared" si="6"/>
        <v>6.6</v>
      </c>
    </row>
    <row r="12" spans="2:17" x14ac:dyDescent="0.25">
      <c r="B12" t="s">
        <v>780</v>
      </c>
      <c r="D12" s="17" t="s">
        <v>22</v>
      </c>
      <c r="E12" s="8">
        <v>15.9</v>
      </c>
      <c r="F12" s="8">
        <v>8</v>
      </c>
      <c r="G12" s="8">
        <v>3.3</v>
      </c>
      <c r="H12" s="8">
        <v>3.3</v>
      </c>
      <c r="I12" s="8">
        <f>2*2</f>
        <v>4</v>
      </c>
      <c r="J12">
        <f t="shared" si="0"/>
        <v>26.5</v>
      </c>
      <c r="K12">
        <f t="shared" si="1"/>
        <v>23.2</v>
      </c>
      <c r="L12">
        <f t="shared" si="2"/>
        <v>34.5</v>
      </c>
      <c r="M12">
        <f t="shared" si="3"/>
        <v>46.4</v>
      </c>
      <c r="O12" s="16">
        <f t="shared" si="4"/>
        <v>29.8</v>
      </c>
      <c r="P12">
        <f t="shared" si="5"/>
        <v>33.1</v>
      </c>
      <c r="Q12">
        <f t="shared" si="6"/>
        <v>6.6</v>
      </c>
    </row>
    <row r="13" spans="2:17" x14ac:dyDescent="0.25">
      <c r="B13" t="s">
        <v>781</v>
      </c>
      <c r="D13" s="17" t="s">
        <v>23</v>
      </c>
      <c r="E13" s="8">
        <v>19</v>
      </c>
      <c r="F13" s="8">
        <v>10</v>
      </c>
      <c r="G13" s="8">
        <v>3.3</v>
      </c>
      <c r="H13" s="8">
        <v>3.8</v>
      </c>
      <c r="I13" s="8">
        <f>2*2.5</f>
        <v>5</v>
      </c>
      <c r="J13">
        <f t="shared" si="0"/>
        <v>30.6</v>
      </c>
      <c r="K13">
        <f t="shared" si="1"/>
        <v>27.3</v>
      </c>
      <c r="L13">
        <f t="shared" si="2"/>
        <v>40.599999999999994</v>
      </c>
      <c r="M13">
        <f t="shared" si="3"/>
        <v>54.599999999999994</v>
      </c>
      <c r="O13" s="16">
        <f t="shared" si="4"/>
        <v>34.400000000000006</v>
      </c>
      <c r="P13">
        <f t="shared" si="5"/>
        <v>38.200000000000003</v>
      </c>
      <c r="Q13">
        <f t="shared" si="6"/>
        <v>7.1</v>
      </c>
    </row>
    <row r="14" spans="2:17" x14ac:dyDescent="0.25">
      <c r="B14" t="s">
        <v>782</v>
      </c>
      <c r="D14" s="17" t="s">
        <v>24</v>
      </c>
      <c r="E14" s="8">
        <v>22.3</v>
      </c>
      <c r="F14" s="8">
        <v>12</v>
      </c>
      <c r="G14" s="8">
        <v>4.3</v>
      </c>
      <c r="H14" s="8">
        <v>4.8</v>
      </c>
      <c r="I14" s="8">
        <f>2*3</f>
        <v>6</v>
      </c>
      <c r="J14">
        <f t="shared" si="0"/>
        <v>36.900000000000006</v>
      </c>
      <c r="K14">
        <f t="shared" si="1"/>
        <v>32.6</v>
      </c>
      <c r="L14">
        <f t="shared" si="2"/>
        <v>48.899999999999991</v>
      </c>
      <c r="M14">
        <f t="shared" si="3"/>
        <v>65.199999999999989</v>
      </c>
      <c r="O14" s="16">
        <f t="shared" si="4"/>
        <v>41.7</v>
      </c>
      <c r="P14">
        <f t="shared" si="5"/>
        <v>46.5</v>
      </c>
      <c r="Q14">
        <f t="shared" si="6"/>
        <v>9.1</v>
      </c>
    </row>
    <row r="15" spans="2:17" x14ac:dyDescent="0.25">
      <c r="B15" t="s">
        <v>783</v>
      </c>
      <c r="D15" s="17" t="s">
        <v>784</v>
      </c>
      <c r="E15" s="8">
        <v>26.4</v>
      </c>
      <c r="F15" s="8">
        <v>15</v>
      </c>
      <c r="G15" s="8">
        <v>4.3</v>
      </c>
      <c r="H15" s="8">
        <v>5.8</v>
      </c>
      <c r="I15" s="8">
        <f>2*3.5</f>
        <v>7</v>
      </c>
      <c r="J15">
        <f t="shared" si="0"/>
        <v>42</v>
      </c>
      <c r="K15">
        <f t="shared" si="1"/>
        <v>37.700000000000003</v>
      </c>
      <c r="L15">
        <f t="shared" si="2"/>
        <v>56.999999999999993</v>
      </c>
      <c r="M15">
        <f t="shared" si="3"/>
        <v>75.399999999999991</v>
      </c>
      <c r="O15" s="16">
        <f t="shared" si="4"/>
        <v>47.8</v>
      </c>
      <c r="P15">
        <f t="shared" si="5"/>
        <v>53.599999999999994</v>
      </c>
      <c r="Q15">
        <f t="shared" si="6"/>
        <v>10.1</v>
      </c>
    </row>
    <row r="16" spans="2:17" x14ac:dyDescent="0.25">
      <c r="B16" t="s">
        <v>785</v>
      </c>
      <c r="D16" s="17" t="s">
        <v>786</v>
      </c>
      <c r="E16" s="8">
        <v>31.9</v>
      </c>
      <c r="F16" s="8">
        <v>18</v>
      </c>
      <c r="G16" s="8">
        <v>5.6</v>
      </c>
      <c r="H16" s="8">
        <v>9.1199999999999992</v>
      </c>
      <c r="I16" s="8">
        <f>2*4</f>
        <v>8</v>
      </c>
      <c r="J16">
        <f t="shared" si="0"/>
        <v>51.1</v>
      </c>
      <c r="K16">
        <f t="shared" si="1"/>
        <v>45.5</v>
      </c>
      <c r="L16">
        <f t="shared" si="2"/>
        <v>69.099999999999994</v>
      </c>
      <c r="M16">
        <f t="shared" si="3"/>
        <v>90.999999999999986</v>
      </c>
      <c r="O16" s="16">
        <f t="shared" si="4"/>
        <v>60.22</v>
      </c>
      <c r="P16">
        <f t="shared" si="5"/>
        <v>69.34</v>
      </c>
      <c r="Q16">
        <f t="shared" si="6"/>
        <v>14.719999999999999</v>
      </c>
    </row>
    <row r="17" spans="2:17" x14ac:dyDescent="0.25">
      <c r="B17" t="s">
        <v>787</v>
      </c>
      <c r="D17" s="17" t="s">
        <v>788</v>
      </c>
      <c r="E17" s="8">
        <v>34.9</v>
      </c>
      <c r="F17" s="8">
        <v>21</v>
      </c>
      <c r="G17" s="8">
        <v>7</v>
      </c>
      <c r="H17" s="8">
        <v>0</v>
      </c>
      <c r="I17" s="8">
        <f>2*4.5</f>
        <v>9</v>
      </c>
      <c r="J17">
        <f t="shared" si="0"/>
        <v>57.9</v>
      </c>
      <c r="K17">
        <f t="shared" si="1"/>
        <v>50.9</v>
      </c>
      <c r="L17">
        <f t="shared" si="2"/>
        <v>78.900000000000006</v>
      </c>
      <c r="M17">
        <f t="shared" si="3"/>
        <v>101.8</v>
      </c>
      <c r="O17" s="16">
        <f t="shared" si="4"/>
        <v>57.9</v>
      </c>
      <c r="P17">
        <f t="shared" si="5"/>
        <v>57.9</v>
      </c>
      <c r="Q17">
        <f t="shared" si="6"/>
        <v>7</v>
      </c>
    </row>
    <row r="18" spans="2:17" ht="15.75" customHeight="1" thickBot="1" x14ac:dyDescent="0.3">
      <c r="B18" t="s">
        <v>695</v>
      </c>
      <c r="D18" s="18" t="s">
        <v>789</v>
      </c>
      <c r="E18" s="19">
        <v>38.9</v>
      </c>
      <c r="F18" s="19">
        <v>24</v>
      </c>
      <c r="G18" s="19">
        <v>8</v>
      </c>
      <c r="H18" s="19">
        <v>0</v>
      </c>
      <c r="I18" s="19">
        <f>2*5</f>
        <v>10</v>
      </c>
      <c r="J18" s="20">
        <f t="shared" si="0"/>
        <v>64.900000000000006</v>
      </c>
      <c r="K18" s="20">
        <f t="shared" si="1"/>
        <v>56.9</v>
      </c>
      <c r="L18">
        <f t="shared" si="2"/>
        <v>88.9</v>
      </c>
      <c r="M18" s="20">
        <f t="shared" si="3"/>
        <v>113.8</v>
      </c>
      <c r="N18" s="20"/>
      <c r="O18" s="16">
        <f t="shared" si="4"/>
        <v>64.900000000000006</v>
      </c>
      <c r="P18">
        <f t="shared" si="5"/>
        <v>64.900000000000006</v>
      </c>
      <c r="Q18">
        <f t="shared" si="6"/>
        <v>8</v>
      </c>
    </row>
    <row r="19" spans="2:17" x14ac:dyDescent="0.25">
      <c r="B19" t="s">
        <v>790</v>
      </c>
    </row>
    <row r="20" spans="2:17" x14ac:dyDescent="0.25">
      <c r="B20" t="s">
        <v>791</v>
      </c>
    </row>
    <row r="21" spans="2:17" x14ac:dyDescent="0.25">
      <c r="B21" t="s">
        <v>791</v>
      </c>
    </row>
    <row r="22" spans="2:17" x14ac:dyDescent="0.25">
      <c r="B22" t="s">
        <v>791</v>
      </c>
    </row>
    <row r="23" spans="2:17" x14ac:dyDescent="0.25">
      <c r="B23" t="s">
        <v>791</v>
      </c>
    </row>
    <row r="24" spans="2:17" x14ac:dyDescent="0.25">
      <c r="B24" t="s">
        <v>791</v>
      </c>
    </row>
    <row r="26" spans="2:17" x14ac:dyDescent="0.25">
      <c r="B26" s="6" t="s">
        <v>792</v>
      </c>
    </row>
    <row r="27" spans="2:17" x14ac:dyDescent="0.25">
      <c r="B27" t="s">
        <v>793</v>
      </c>
    </row>
    <row r="28" spans="2:17" x14ac:dyDescent="0.25">
      <c r="B28" t="s">
        <v>794</v>
      </c>
    </row>
    <row r="29" spans="2:17" x14ac:dyDescent="0.25">
      <c r="B29" t="s">
        <v>795</v>
      </c>
    </row>
    <row r="30" spans="2:17" x14ac:dyDescent="0.25">
      <c r="B30" t="s">
        <v>796</v>
      </c>
    </row>
    <row r="31" spans="2:17" x14ac:dyDescent="0.25">
      <c r="B31" t="s">
        <v>760</v>
      </c>
    </row>
    <row r="32" spans="2:17" x14ac:dyDescent="0.25">
      <c r="B32" t="s">
        <v>779</v>
      </c>
    </row>
    <row r="33" spans="2:2" x14ac:dyDescent="0.25">
      <c r="B33" t="s">
        <v>780</v>
      </c>
    </row>
    <row r="34" spans="2:2" x14ac:dyDescent="0.25">
      <c r="B34" t="s">
        <v>797</v>
      </c>
    </row>
    <row r="35" spans="2:2" x14ac:dyDescent="0.25">
      <c r="B35" t="s">
        <v>798</v>
      </c>
    </row>
    <row r="36" spans="2:2" x14ac:dyDescent="0.25">
      <c r="B36" t="s">
        <v>799</v>
      </c>
    </row>
    <row r="37" spans="2:2" x14ac:dyDescent="0.25">
      <c r="B37" t="s">
        <v>695</v>
      </c>
    </row>
    <row r="38" spans="2:2" x14ac:dyDescent="0.25">
      <c r="B38" t="s">
        <v>791</v>
      </c>
    </row>
    <row r="39" spans="2:2" x14ac:dyDescent="0.25">
      <c r="B39" t="s">
        <v>791</v>
      </c>
    </row>
    <row r="40" spans="2:2" x14ac:dyDescent="0.25">
      <c r="B40" t="s">
        <v>791</v>
      </c>
    </row>
    <row r="41" spans="2:2" x14ac:dyDescent="0.25">
      <c r="B41" t="s">
        <v>791</v>
      </c>
    </row>
    <row r="42" spans="2:2" x14ac:dyDescent="0.25">
      <c r="B42" t="s">
        <v>791</v>
      </c>
    </row>
    <row r="44" spans="2:2" x14ac:dyDescent="0.25">
      <c r="B44" s="6" t="s">
        <v>800</v>
      </c>
    </row>
    <row r="45" spans="2:2" x14ac:dyDescent="0.25">
      <c r="B45" t="s">
        <v>801</v>
      </c>
    </row>
    <row r="46" spans="2:2" x14ac:dyDescent="0.25">
      <c r="B46" t="s">
        <v>802</v>
      </c>
    </row>
    <row r="47" spans="2:2" x14ac:dyDescent="0.25">
      <c r="B47" t="s">
        <v>803</v>
      </c>
    </row>
    <row r="48" spans="2:2" x14ac:dyDescent="0.25">
      <c r="B48" t="s">
        <v>804</v>
      </c>
    </row>
    <row r="49" spans="2:2" x14ac:dyDescent="0.25">
      <c r="B49" t="s">
        <v>805</v>
      </c>
    </row>
    <row r="50" spans="2:2" x14ac:dyDescent="0.25">
      <c r="B50" t="s">
        <v>806</v>
      </c>
    </row>
    <row r="51" spans="2:2" x14ac:dyDescent="0.25">
      <c r="B51" t="s">
        <v>691</v>
      </c>
    </row>
    <row r="52" spans="2:2" x14ac:dyDescent="0.25">
      <c r="B52" t="s">
        <v>692</v>
      </c>
    </row>
    <row r="53" spans="2:2" x14ac:dyDescent="0.25">
      <c r="B53" t="s">
        <v>693</v>
      </c>
    </row>
    <row r="54" spans="2:2" x14ac:dyDescent="0.25">
      <c r="B54" t="s">
        <v>694</v>
      </c>
    </row>
    <row r="55" spans="2:2" x14ac:dyDescent="0.25">
      <c r="B55" t="s">
        <v>807</v>
      </c>
    </row>
    <row r="56" spans="2:2" x14ac:dyDescent="0.25">
      <c r="B56" t="s">
        <v>808</v>
      </c>
    </row>
    <row r="57" spans="2:2" x14ac:dyDescent="0.25">
      <c r="B57" t="s">
        <v>809</v>
      </c>
    </row>
    <row r="58" spans="2:2" x14ac:dyDescent="0.25">
      <c r="B58" t="s">
        <v>695</v>
      </c>
    </row>
    <row r="59" spans="2:2" x14ac:dyDescent="0.25">
      <c r="B59" t="s">
        <v>791</v>
      </c>
    </row>
    <row r="63" spans="2:2" x14ac:dyDescent="0.25">
      <c r="B63" s="6" t="s">
        <v>810</v>
      </c>
    </row>
    <row r="64" spans="2:2" x14ac:dyDescent="0.25">
      <c r="B64" t="s">
        <v>801</v>
      </c>
    </row>
    <row r="65" spans="2:2" x14ac:dyDescent="0.25">
      <c r="B65" t="s">
        <v>802</v>
      </c>
    </row>
    <row r="66" spans="2:2" x14ac:dyDescent="0.25">
      <c r="B66" t="s">
        <v>803</v>
      </c>
    </row>
    <row r="67" spans="2:2" x14ac:dyDescent="0.25">
      <c r="B67" t="s">
        <v>804</v>
      </c>
    </row>
    <row r="68" spans="2:2" x14ac:dyDescent="0.25">
      <c r="B68" t="s">
        <v>805</v>
      </c>
    </row>
    <row r="69" spans="2:2" x14ac:dyDescent="0.25">
      <c r="B69" t="s">
        <v>806</v>
      </c>
    </row>
    <row r="70" spans="2:2" x14ac:dyDescent="0.25">
      <c r="B70" t="s">
        <v>691</v>
      </c>
    </row>
    <row r="71" spans="2:2" x14ac:dyDescent="0.25">
      <c r="B71" t="s">
        <v>692</v>
      </c>
    </row>
    <row r="72" spans="2:2" x14ac:dyDescent="0.25">
      <c r="B72" t="s">
        <v>693</v>
      </c>
    </row>
    <row r="73" spans="2:2" x14ac:dyDescent="0.25">
      <c r="B73" t="s">
        <v>694</v>
      </c>
    </row>
    <row r="74" spans="2:2" x14ac:dyDescent="0.25">
      <c r="B74" t="s">
        <v>807</v>
      </c>
    </row>
    <row r="75" spans="2:2" x14ac:dyDescent="0.25">
      <c r="B75" t="s">
        <v>808</v>
      </c>
    </row>
    <row r="76" spans="2:2" x14ac:dyDescent="0.25">
      <c r="B76" t="s">
        <v>809</v>
      </c>
    </row>
    <row r="77" spans="2:2" x14ac:dyDescent="0.25">
      <c r="B77" t="s">
        <v>695</v>
      </c>
    </row>
    <row r="78" spans="2:2" x14ac:dyDescent="0.25">
      <c r="B78" t="s">
        <v>791</v>
      </c>
    </row>
    <row r="80" spans="2:2" x14ac:dyDescent="0.25">
      <c r="B80" s="6" t="s">
        <v>811</v>
      </c>
    </row>
    <row r="81" spans="2:2" x14ac:dyDescent="0.25">
      <c r="B81" t="s">
        <v>801</v>
      </c>
    </row>
    <row r="82" spans="2:2" x14ac:dyDescent="0.25">
      <c r="B82" t="s">
        <v>802</v>
      </c>
    </row>
    <row r="83" spans="2:2" x14ac:dyDescent="0.25">
      <c r="B83" t="s">
        <v>803</v>
      </c>
    </row>
    <row r="84" spans="2:2" x14ac:dyDescent="0.25">
      <c r="B84" t="s">
        <v>804</v>
      </c>
    </row>
    <row r="85" spans="2:2" x14ac:dyDescent="0.25">
      <c r="B85" t="s">
        <v>805</v>
      </c>
    </row>
    <row r="86" spans="2:2" x14ac:dyDescent="0.25">
      <c r="B86" t="s">
        <v>806</v>
      </c>
    </row>
    <row r="87" spans="2:2" x14ac:dyDescent="0.25">
      <c r="B87" t="s">
        <v>691</v>
      </c>
    </row>
    <row r="88" spans="2:2" x14ac:dyDescent="0.25">
      <c r="B88" t="s">
        <v>692</v>
      </c>
    </row>
    <row r="89" spans="2:2" x14ac:dyDescent="0.25">
      <c r="B89" t="s">
        <v>693</v>
      </c>
    </row>
    <row r="90" spans="2:2" x14ac:dyDescent="0.25">
      <c r="B90" t="s">
        <v>694</v>
      </c>
    </row>
    <row r="91" spans="2:2" x14ac:dyDescent="0.25">
      <c r="B91" t="s">
        <v>812</v>
      </c>
    </row>
    <row r="92" spans="2:2" x14ac:dyDescent="0.25">
      <c r="B92" t="s">
        <v>695</v>
      </c>
    </row>
    <row r="93" spans="2:2" x14ac:dyDescent="0.25">
      <c r="B93" t="s">
        <v>791</v>
      </c>
    </row>
    <row r="95" spans="2:2" x14ac:dyDescent="0.25">
      <c r="B95" s="6" t="s">
        <v>813</v>
      </c>
    </row>
    <row r="96" spans="2:2" x14ac:dyDescent="0.25">
      <c r="B96" t="s">
        <v>801</v>
      </c>
    </row>
    <row r="97" spans="2:2" x14ac:dyDescent="0.25">
      <c r="B97" t="s">
        <v>802</v>
      </c>
    </row>
    <row r="98" spans="2:2" x14ac:dyDescent="0.25">
      <c r="B98" t="s">
        <v>803</v>
      </c>
    </row>
    <row r="99" spans="2:2" x14ac:dyDescent="0.25">
      <c r="B99" t="s">
        <v>804</v>
      </c>
    </row>
    <row r="100" spans="2:2" x14ac:dyDescent="0.25">
      <c r="B100" t="s">
        <v>805</v>
      </c>
    </row>
    <row r="101" spans="2:2" x14ac:dyDescent="0.25">
      <c r="B101" t="s">
        <v>806</v>
      </c>
    </row>
    <row r="102" spans="2:2" x14ac:dyDescent="0.25">
      <c r="B102" t="s">
        <v>691</v>
      </c>
    </row>
    <row r="103" spans="2:2" x14ac:dyDescent="0.25">
      <c r="B103" t="s">
        <v>692</v>
      </c>
    </row>
    <row r="104" spans="2:2" x14ac:dyDescent="0.25">
      <c r="B104" t="s">
        <v>693</v>
      </c>
    </row>
    <row r="105" spans="2:2" x14ac:dyDescent="0.25">
      <c r="B105" t="s">
        <v>694</v>
      </c>
    </row>
    <row r="106" spans="2:2" x14ac:dyDescent="0.25">
      <c r="B106" t="s">
        <v>812</v>
      </c>
    </row>
    <row r="107" spans="2:2" x14ac:dyDescent="0.25">
      <c r="B107" t="s">
        <v>695</v>
      </c>
    </row>
    <row r="108" spans="2:2" x14ac:dyDescent="0.25">
      <c r="B108" t="s">
        <v>791</v>
      </c>
    </row>
    <row r="110" spans="2:2" x14ac:dyDescent="0.25">
      <c r="B110" s="6" t="s">
        <v>391</v>
      </c>
    </row>
    <row r="111" spans="2:2" x14ac:dyDescent="0.25">
      <c r="B111" t="s">
        <v>801</v>
      </c>
    </row>
    <row r="112" spans="2:2" x14ac:dyDescent="0.25">
      <c r="B112" t="s">
        <v>802</v>
      </c>
    </row>
    <row r="113" spans="2:2" x14ac:dyDescent="0.25">
      <c r="B113" t="s">
        <v>803</v>
      </c>
    </row>
    <row r="114" spans="2:2" x14ac:dyDescent="0.25">
      <c r="B114" t="s">
        <v>804</v>
      </c>
    </row>
    <row r="115" spans="2:2" x14ac:dyDescent="0.25">
      <c r="B115" t="s">
        <v>805</v>
      </c>
    </row>
    <row r="116" spans="2:2" x14ac:dyDescent="0.25">
      <c r="B116" t="s">
        <v>806</v>
      </c>
    </row>
    <row r="117" spans="2:2" x14ac:dyDescent="0.25">
      <c r="B117" t="s">
        <v>691</v>
      </c>
    </row>
    <row r="118" spans="2:2" x14ac:dyDescent="0.25">
      <c r="B118" t="s">
        <v>692</v>
      </c>
    </row>
    <row r="119" spans="2:2" x14ac:dyDescent="0.25">
      <c r="B119" t="s">
        <v>693</v>
      </c>
    </row>
    <row r="120" spans="2:2" x14ac:dyDescent="0.25">
      <c r="B120" t="s">
        <v>694</v>
      </c>
    </row>
    <row r="121" spans="2:2" x14ac:dyDescent="0.25">
      <c r="B121" t="s">
        <v>812</v>
      </c>
    </row>
    <row r="122" spans="2:2" x14ac:dyDescent="0.25">
      <c r="B122" t="s">
        <v>695</v>
      </c>
    </row>
    <row r="123" spans="2:2" x14ac:dyDescent="0.25">
      <c r="B123" t="s">
        <v>791</v>
      </c>
    </row>
    <row r="125" spans="2:2" x14ac:dyDescent="0.25">
      <c r="B125" s="6" t="s">
        <v>814</v>
      </c>
    </row>
    <row r="126" spans="2:2" x14ac:dyDescent="0.25">
      <c r="B126" t="s">
        <v>815</v>
      </c>
    </row>
    <row r="127" spans="2:2" x14ac:dyDescent="0.25">
      <c r="B127" t="s">
        <v>816</v>
      </c>
    </row>
    <row r="128" spans="2:2" x14ac:dyDescent="0.25">
      <c r="B128" t="s">
        <v>817</v>
      </c>
    </row>
    <row r="129" spans="2:2" x14ac:dyDescent="0.25">
      <c r="B129" t="s">
        <v>818</v>
      </c>
    </row>
    <row r="130" spans="2:2" x14ac:dyDescent="0.25">
      <c r="B130" t="s">
        <v>819</v>
      </c>
    </row>
    <row r="131" spans="2:2" x14ac:dyDescent="0.25">
      <c r="B131" t="s">
        <v>695</v>
      </c>
    </row>
    <row r="132" spans="2:2" x14ac:dyDescent="0.25">
      <c r="B132" t="s">
        <v>791</v>
      </c>
    </row>
    <row r="133" spans="2:2" x14ac:dyDescent="0.25">
      <c r="B133" t="s">
        <v>791</v>
      </c>
    </row>
    <row r="134" spans="2:2" x14ac:dyDescent="0.25">
      <c r="B134" t="s">
        <v>791</v>
      </c>
    </row>
    <row r="137" spans="2:2" x14ac:dyDescent="0.25">
      <c r="B137" s="6" t="s">
        <v>820</v>
      </c>
    </row>
    <row r="138" spans="2:2" x14ac:dyDescent="0.25">
      <c r="B138" t="s">
        <v>815</v>
      </c>
    </row>
    <row r="139" spans="2:2" x14ac:dyDescent="0.25">
      <c r="B139" t="s">
        <v>816</v>
      </c>
    </row>
    <row r="140" spans="2:2" x14ac:dyDescent="0.25">
      <c r="B140" t="s">
        <v>821</v>
      </c>
    </row>
    <row r="141" spans="2:2" x14ac:dyDescent="0.25">
      <c r="B141" t="s">
        <v>819</v>
      </c>
    </row>
    <row r="142" spans="2:2" x14ac:dyDescent="0.25">
      <c r="B142" t="s">
        <v>695</v>
      </c>
    </row>
    <row r="143" spans="2:2" x14ac:dyDescent="0.25">
      <c r="B143" t="s">
        <v>791</v>
      </c>
    </row>
    <row r="144" spans="2:2" x14ac:dyDescent="0.25">
      <c r="B144" t="s">
        <v>791</v>
      </c>
    </row>
    <row r="146" spans="2:2" x14ac:dyDescent="0.25">
      <c r="B146" s="6" t="s">
        <v>822</v>
      </c>
    </row>
    <row r="147" spans="2:2" x14ac:dyDescent="0.25">
      <c r="B147" t="s">
        <v>699</v>
      </c>
    </row>
    <row r="148" spans="2:2" x14ac:dyDescent="0.25">
      <c r="B148" t="s">
        <v>700</v>
      </c>
    </row>
    <row r="149" spans="2:2" x14ac:dyDescent="0.25">
      <c r="B149" t="s">
        <v>701</v>
      </c>
    </row>
    <row r="150" spans="2:2" x14ac:dyDescent="0.25">
      <c r="B150" t="s">
        <v>823</v>
      </c>
    </row>
    <row r="151" spans="2:2" x14ac:dyDescent="0.25">
      <c r="B151" t="s">
        <v>704</v>
      </c>
    </row>
    <row r="152" spans="2:2" x14ac:dyDescent="0.25">
      <c r="B152" t="s">
        <v>707</v>
      </c>
    </row>
    <row r="153" spans="2:2" x14ac:dyDescent="0.25">
      <c r="B153" t="s">
        <v>710</v>
      </c>
    </row>
    <row r="155" spans="2:2" x14ac:dyDescent="0.25">
      <c r="B155" t="s">
        <v>824</v>
      </c>
    </row>
    <row r="156" spans="2:2" x14ac:dyDescent="0.25">
      <c r="B156" t="s">
        <v>825</v>
      </c>
    </row>
    <row r="157" spans="2:2" x14ac:dyDescent="0.25">
      <c r="B157" t="s">
        <v>826</v>
      </c>
    </row>
    <row r="158" spans="2:2" x14ac:dyDescent="0.25">
      <c r="B158" t="s">
        <v>827</v>
      </c>
    </row>
    <row r="159" spans="2:2" x14ac:dyDescent="0.25">
      <c r="B159" t="s">
        <v>828</v>
      </c>
    </row>
  </sheetData>
  <pageMargins left="0.7" right="0.7" top="0.75" bottom="0.75" header="0.3" footer="0.3"/>
  <pageSetup orientation="portrait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80626CA71305447BA0081B28B172EF3" ma:contentTypeVersion="4" ma:contentTypeDescription="Create a new document." ma:contentTypeScope="" ma:versionID="d16c9f3333777b27d43fdbaedbea8888">
  <xsd:schema xmlns:xsd="http://www.w3.org/2001/XMLSchema" xmlns:xs="http://www.w3.org/2001/XMLSchema" xmlns:p="http://schemas.microsoft.com/office/2006/metadata/properties" xmlns:ns3="cab7eb8b-175e-436a-8e45-f4fe35705bd3" targetNamespace="http://schemas.microsoft.com/office/2006/metadata/properties" ma:root="true" ma:fieldsID="6574380a12d92ccf2552297ffb7e1a24" ns3:_="">
    <xsd:import namespace="cab7eb8b-175e-436a-8e45-f4fe35705bd3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b7eb8b-175e-436a-8e45-f4fe35705bd3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E609706-EDD6-46F6-B969-99842FF17752}">
  <ds:schemaRefs>
    <ds:schemaRef ds:uri="http://purl.org/dc/elements/1.1/"/>
    <ds:schemaRef ds:uri="http://purl.org/dc/terms/"/>
    <ds:schemaRef ds:uri="http://www.w3.org/XML/1998/namespace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cab7eb8b-175e-436a-8e45-f4fe35705bd3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EB54F8A4-E695-4CE0-9C8B-BA71100F3CE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EED62C2-D63C-4A73-AD0A-A14438F834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ab7eb8b-175e-436a-8e45-f4fe35705bd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STD.DATA</vt:lpstr>
      <vt:lpstr>TANK HARDWARE</vt:lpstr>
      <vt:lpstr>PRINT SHEET</vt:lpstr>
      <vt:lpstr>FINAL SHEET</vt:lpstr>
      <vt:lpstr>PRINT QTY</vt:lpstr>
      <vt:lpstr>NON.STD.DATA</vt:lpstr>
      <vt:lpstr>'FINAL SHEET'!Print_Area</vt:lpstr>
      <vt:lpstr>'PRINT QTY'!Print_Area</vt:lpstr>
      <vt:lpstr>'PRINT SHEET'!Print_Area</vt:lpstr>
      <vt:lpstr>STD.DATA!Print_Area</vt:lpstr>
      <vt:lpstr>'FINAL SHEET'!Print_Titles</vt:lpstr>
      <vt:lpstr>'PRINT QTY'!Print_Titles</vt:lpstr>
      <vt:lpstr>'PRINT SHEET'!Print_Titles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Narasimha Rao.P</dc:creator>
  <cp:lastModifiedBy>Krishna Raju</cp:lastModifiedBy>
  <cp:lastPrinted>2026-07-09T08:49:38Z</cp:lastPrinted>
  <dcterms:created xsi:type="dcterms:W3CDTF">2013-08-12T04:48:02Z</dcterms:created>
  <dcterms:modified xsi:type="dcterms:W3CDTF">2026-08-22T05:44:25Z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0x010100D80626CA71305447BA0081B28B172EF3</vt:lpwstr>
  </property>
</Properties>
</file>