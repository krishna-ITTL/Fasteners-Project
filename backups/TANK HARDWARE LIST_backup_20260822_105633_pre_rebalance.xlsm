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45EFD86F-EFAD-4043-980F-1ABF74B8FBE1}" xr6:coauthVersionLast="47" xr6:coauthVersionMax="47" xr10:uidLastSave="{00000000-0000-0000-0000-000000000000}"/>
  <bookViews>
    <workbookView xWindow="-120" yWindow="-120" windowWidth="24240" windowHeight="13740" firstSheet="1" activeTab="3" xr2:uid="{00000000-000D-0000-FFFF-FFFF00000000}"/>
  </bookViews>
  <sheets>
    <sheet name="STD.DATA" sheetId="1" state="hidden" r:id="rId1"/>
    <sheet name="TANK HARDWARE" sheetId="2" r:id="rId2"/>
    <sheet name="PRINT SHEET" sheetId="3" r:id="rId3"/>
    <sheet name="FINAL SHEET" sheetId="4" r:id="rId4"/>
    <sheet name="PRINT QTY" sheetId="5" state="hidden" r:id="rId5"/>
    <sheet name="NON.STD.DATA" sheetId="6" state="hidden" r:id="rId6"/>
  </sheets>
  <definedNames>
    <definedName name="_xlnm._FilterDatabase" localSheetId="4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4">'PRINT QTY'!$C$5:$L$343</definedName>
    <definedName name="_xlnm.Print_Area" localSheetId="2">'PRINT SHEET'!$D$2:$L$245</definedName>
    <definedName name="_xlnm.Print_Area" localSheetId="0">STD.DATA!$A$1:$J$227</definedName>
    <definedName name="_xlnm.Print_Titles" localSheetId="3">'FINAL SHEET'!$2:$10</definedName>
    <definedName name="_xlnm.Print_Titles" localSheetId="4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N17" i="5" s="1"/>
  <c r="B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Q208" i="2"/>
  <c r="I204" i="3" s="1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M57" i="2" s="1"/>
  <c r="F52" i="3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O16" i="2"/>
  <c r="H11" i="3" s="1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F59" i="4" s="1"/>
  <c r="E7" i="4"/>
  <c r="F13" i="4" s="1"/>
  <c r="E5" i="4"/>
  <c r="I4" i="4"/>
  <c r="F226" i="5" l="1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CD16" i="2" s="1"/>
  <c r="O84" i="2"/>
  <c r="H80" i="3" s="1"/>
  <c r="B80" i="3" s="1"/>
  <c r="AK16" i="2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F104" i="4"/>
  <c r="F96" i="4"/>
  <c r="F118" i="4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F103" i="4"/>
  <c r="F125" i="4"/>
  <c r="F117" i="4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F110" i="4"/>
  <c r="F102" i="4"/>
  <c r="F124" i="4"/>
  <c r="F116" i="4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F109" i="4"/>
  <c r="F101" i="4"/>
  <c r="F123" i="4"/>
  <c r="F115" i="4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108" i="4"/>
  <c r="F100" i="4"/>
  <c r="F122" i="4"/>
  <c r="F114" i="4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F107" i="4"/>
  <c r="F99" i="4"/>
  <c r="F121" i="4"/>
  <c r="F113" i="4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F106" i="4"/>
  <c r="F98" i="4"/>
  <c r="F120" i="4"/>
  <c r="F112" i="4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F105" i="4"/>
  <c r="F97" i="4"/>
  <c r="F119" i="4"/>
  <c r="F111" i="4"/>
  <c r="C44" i="1"/>
  <c r="C51" i="1"/>
  <c r="F22" i="4"/>
  <c r="F46" i="4"/>
  <c r="F34" i="4"/>
  <c r="C60" i="1"/>
  <c r="F57" i="4"/>
  <c r="F45" i="4"/>
  <c r="F33" i="4"/>
  <c r="C24" i="1"/>
  <c r="C76" i="1"/>
  <c r="C28" i="1"/>
  <c r="C82" i="1"/>
  <c r="F56" i="4"/>
  <c r="F44" i="4"/>
  <c r="F32" i="4"/>
  <c r="C61" i="1"/>
  <c r="C29" i="1"/>
  <c r="C64" i="1"/>
  <c r="C84" i="1"/>
  <c r="F55" i="4"/>
  <c r="F43" i="4"/>
  <c r="F31" i="4"/>
  <c r="C74" i="1"/>
  <c r="C30" i="1"/>
  <c r="C65" i="1"/>
  <c r="C85" i="1"/>
  <c r="F54" i="4"/>
  <c r="F42" i="4"/>
  <c r="F30" i="4"/>
  <c r="C31" i="1"/>
  <c r="F53" i="4"/>
  <c r="F41" i="4"/>
  <c r="F29" i="4"/>
  <c r="F52" i="4"/>
  <c r="F40" i="4"/>
  <c r="F28" i="4"/>
  <c r="C73" i="1"/>
  <c r="C66" i="1"/>
  <c r="C33" i="1"/>
  <c r="C67" i="1"/>
  <c r="C89" i="1"/>
  <c r="F14" i="4"/>
  <c r="C35" i="1"/>
  <c r="C68" i="1"/>
  <c r="C95" i="1"/>
  <c r="F51" i="4"/>
  <c r="F39" i="4"/>
  <c r="F27" i="4"/>
  <c r="F15" i="4"/>
  <c r="C36" i="1"/>
  <c r="C69" i="1"/>
  <c r="C98" i="1"/>
  <c r="F50" i="4"/>
  <c r="F38" i="4"/>
  <c r="F26" i="4"/>
  <c r="C4" i="1"/>
  <c r="C70" i="1"/>
  <c r="C99" i="1"/>
  <c r="F49" i="4"/>
  <c r="F37" i="4"/>
  <c r="F25" i="4"/>
  <c r="C72" i="1"/>
  <c r="F48" i="4"/>
  <c r="F36" i="4"/>
  <c r="F24" i="4"/>
  <c r="F47" i="4"/>
  <c r="F35" i="4"/>
  <c r="F23" i="4"/>
  <c r="F58" i="4"/>
  <c r="F82" i="4"/>
  <c r="F70" i="4"/>
  <c r="F93" i="4"/>
  <c r="F81" i="4"/>
  <c r="F69" i="4"/>
  <c r="F92" i="4"/>
  <c r="F80" i="4"/>
  <c r="F68" i="4"/>
  <c r="F91" i="4"/>
  <c r="F79" i="4"/>
  <c r="F67" i="4"/>
  <c r="F90" i="4"/>
  <c r="F78" i="4"/>
  <c r="F66" i="4"/>
  <c r="F17" i="4"/>
  <c r="F89" i="4"/>
  <c r="F77" i="4"/>
  <c r="F65" i="4"/>
  <c r="F18" i="4"/>
  <c r="F88" i="4"/>
  <c r="F76" i="4"/>
  <c r="F64" i="4"/>
  <c r="F87" i="4"/>
  <c r="F75" i="4"/>
  <c r="F63" i="4"/>
  <c r="F86" i="4"/>
  <c r="F74" i="4"/>
  <c r="F62" i="4"/>
  <c r="F85" i="4"/>
  <c r="F73" i="4"/>
  <c r="F61" i="4"/>
  <c r="F19" i="4"/>
  <c r="F84" i="4"/>
  <c r="F72" i="4"/>
  <c r="F60" i="4"/>
  <c r="F83" i="4"/>
  <c r="F71" i="4"/>
  <c r="F10" i="3"/>
  <c r="AC98" i="2"/>
  <c r="G11" i="3"/>
  <c r="Q16" i="2"/>
  <c r="I11" i="3" s="1"/>
  <c r="CG16" i="2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F16" i="4"/>
  <c r="F11" i="4"/>
  <c r="F12" i="4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Q142" i="2" l="1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G29" i="4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I11" i="4" s="1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AP20" i="2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H11" i="4" s="1"/>
  <c r="AP14" i="2"/>
  <c r="CF14" i="2" s="1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CD21" i="2" s="1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G124" i="4"/>
  <c r="G112" i="4"/>
  <c r="G100" i="4"/>
  <c r="G86" i="4"/>
  <c r="G74" i="4"/>
  <c r="G62" i="4"/>
  <c r="G50" i="4"/>
  <c r="G38" i="4"/>
  <c r="G26" i="4"/>
  <c r="I13" i="4"/>
  <c r="G123" i="4"/>
  <c r="G99" i="4"/>
  <c r="G85" i="4"/>
  <c r="G61" i="4"/>
  <c r="G25" i="4"/>
  <c r="J15" i="4"/>
  <c r="H13" i="4"/>
  <c r="G111" i="4"/>
  <c r="G73" i="4"/>
  <c r="G49" i="4"/>
  <c r="G37" i="4"/>
  <c r="G116" i="4"/>
  <c r="G104" i="4"/>
  <c r="G90" i="4"/>
  <c r="G78" i="4"/>
  <c r="G66" i="4"/>
  <c r="G54" i="4"/>
  <c r="G42" i="4"/>
  <c r="G30" i="4"/>
  <c r="G19" i="4"/>
  <c r="H14" i="4"/>
  <c r="G125" i="4"/>
  <c r="G91" i="4"/>
  <c r="G58" i="4"/>
  <c r="G27" i="4"/>
  <c r="I14" i="4"/>
  <c r="G105" i="4"/>
  <c r="G15" i="4"/>
  <c r="G122" i="4"/>
  <c r="G107" i="4"/>
  <c r="G89" i="4"/>
  <c r="G72" i="4"/>
  <c r="G57" i="4"/>
  <c r="G41" i="4"/>
  <c r="G24" i="4"/>
  <c r="G14" i="4"/>
  <c r="G106" i="4"/>
  <c r="G88" i="4"/>
  <c r="G71" i="4"/>
  <c r="G40" i="4"/>
  <c r="G120" i="4"/>
  <c r="G70" i="4"/>
  <c r="G39" i="4"/>
  <c r="G121" i="4"/>
  <c r="G56" i="4"/>
  <c r="G23" i="4"/>
  <c r="G55" i="4"/>
  <c r="J13" i="4"/>
  <c r="G22" i="4"/>
  <c r="G93" i="4"/>
  <c r="G119" i="4"/>
  <c r="G103" i="4"/>
  <c r="G84" i="4"/>
  <c r="G69" i="4"/>
  <c r="G53" i="4"/>
  <c r="G36" i="4"/>
  <c r="J19" i="4"/>
  <c r="G13" i="4"/>
  <c r="G33" i="4"/>
  <c r="G118" i="4"/>
  <c r="G102" i="4"/>
  <c r="G83" i="4"/>
  <c r="G68" i="4"/>
  <c r="G52" i="4"/>
  <c r="G35" i="4"/>
  <c r="I19" i="4"/>
  <c r="G115" i="4"/>
  <c r="G65" i="4"/>
  <c r="I15" i="4"/>
  <c r="G117" i="4"/>
  <c r="G101" i="4"/>
  <c r="G82" i="4"/>
  <c r="G67" i="4"/>
  <c r="G51" i="4"/>
  <c r="G34" i="4"/>
  <c r="H19" i="4"/>
  <c r="J12" i="4"/>
  <c r="G81" i="4"/>
  <c r="G60" i="4"/>
  <c r="G98" i="4"/>
  <c r="G48" i="4"/>
  <c r="I12" i="4"/>
  <c r="G77" i="4"/>
  <c r="G114" i="4"/>
  <c r="G97" i="4"/>
  <c r="G80" i="4"/>
  <c r="G64" i="4"/>
  <c r="G47" i="4"/>
  <c r="G32" i="4"/>
  <c r="G46" i="4"/>
  <c r="G45" i="4"/>
  <c r="G113" i="4"/>
  <c r="G96" i="4"/>
  <c r="G79" i="4"/>
  <c r="G63" i="4"/>
  <c r="G31" i="4"/>
  <c r="G110" i="4"/>
  <c r="J11" i="4"/>
  <c r="G109" i="4"/>
  <c r="G92" i="4"/>
  <c r="G76" i="4"/>
  <c r="G59" i="4"/>
  <c r="G44" i="4"/>
  <c r="G28" i="4"/>
  <c r="J17" i="4"/>
  <c r="J14" i="4"/>
  <c r="G108" i="4"/>
  <c r="G75" i="4"/>
  <c r="G43" i="4"/>
  <c r="G87" i="4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H15" i="4" s="1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22" i="3" l="1"/>
  <c r="C23" i="3" s="1"/>
  <c r="C24" i="3" s="1"/>
  <c r="C25" i="3" s="1"/>
  <c r="C26" i="3" s="1"/>
  <c r="C27" i="3" s="1"/>
  <c r="C28" i="3" s="1"/>
  <c r="C29" i="3" s="1"/>
  <c r="AJ19" i="2"/>
  <c r="I17" i="4"/>
  <c r="I18" i="4"/>
  <c r="AP19" i="2"/>
  <c r="H16" i="4"/>
  <c r="C38" i="3"/>
  <c r="C39" i="3" s="1"/>
  <c r="C40" i="3" s="1"/>
  <c r="K33" i="3"/>
  <c r="J18" i="4" s="1"/>
  <c r="AI21" i="2"/>
  <c r="CE21" i="2" s="1"/>
  <c r="G16" i="4"/>
  <c r="I66" i="3"/>
  <c r="H12" i="4" s="1"/>
  <c r="AJ15" i="2"/>
  <c r="CF15" i="2" s="1"/>
  <c r="I41" i="3"/>
  <c r="H17" i="4" s="1"/>
  <c r="AJ20" i="2"/>
  <c r="CF20" i="2" s="1"/>
  <c r="G12" i="4"/>
  <c r="G18" i="4"/>
  <c r="G11" i="4"/>
  <c r="CD14" i="2"/>
  <c r="CG21" i="2"/>
  <c r="C41" i="3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G17" i="4"/>
  <c r="J187" i="3"/>
  <c r="BI19" i="2"/>
  <c r="K67" i="3"/>
  <c r="J16" i="4" s="1"/>
  <c r="AI19" i="2"/>
  <c r="CE19" i="2" s="1"/>
  <c r="CV29" i="2"/>
  <c r="D252" i="2" s="1"/>
  <c r="I33" i="3"/>
  <c r="H18" i="4" s="1"/>
  <c r="AJ21" i="2"/>
  <c r="CF21" i="2" s="1"/>
  <c r="DB29" i="2"/>
  <c r="D253" i="2" s="1"/>
  <c r="CG20" i="2"/>
  <c r="CG19" i="2" l="1"/>
  <c r="CF19" i="2"/>
  <c r="I16" i="4"/>
  <c r="D250" i="2"/>
  <c r="D254" i="2" s="1"/>
  <c r="CZ45" i="2"/>
</calcChain>
</file>

<file path=xl/sharedStrings.xml><?xml version="1.0" encoding="utf-8"?>
<sst xmlns="http://schemas.openxmlformats.org/spreadsheetml/2006/main" count="2218" uniqueCount="856">
  <si>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</si>
  <si>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</si>
  <si>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</si>
  <si>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</si>
  <si>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</si>
  <si>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</si>
  <si>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</si>
  <si>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</si>
  <si>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</si>
  <si>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</si>
  <si>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</si>
  <si>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</si>
  <si>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</si>
  <si>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</si>
  <si>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</si>
  <si>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</si>
  <si>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</si>
  <si>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</si>
  <si>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</si>
  <si>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</si>
  <si>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</si>
  <si>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</si>
  <si>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</si>
  <si>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</si>
  <si>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</si>
  <si>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</si>
  <si>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</si>
  <si>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</si>
  <si>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</si>
  <si>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</si>
  <si>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M5X70</t>
  </si>
  <si>
    <t>M8X30</t>
  </si>
  <si>
    <t>M8X50</t>
  </si>
  <si>
    <t>M10X40</t>
  </si>
  <si>
    <t>M10X50</t>
  </si>
  <si>
    <t>M12X40</t>
  </si>
  <si>
    <t>M12X50</t>
  </si>
  <si>
    <t>M12X60</t>
  </si>
  <si>
    <t>M12X70</t>
  </si>
  <si>
    <t>M12X75</t>
  </si>
  <si>
    <t>M12X80</t>
  </si>
  <si>
    <t>M16X50</t>
  </si>
  <si>
    <t>M16X55</t>
  </si>
  <si>
    <t>M16X60</t>
  </si>
  <si>
    <t>M16X70</t>
  </si>
  <si>
    <t>M16X80</t>
  </si>
  <si>
    <t>M16X90</t>
  </si>
  <si>
    <t>M16X100</t>
  </si>
  <si>
    <t>M16X210</t>
  </si>
  <si>
    <t>M16X220</t>
  </si>
  <si>
    <t>M20X70</t>
  </si>
  <si>
    <t>M20X80</t>
  </si>
  <si>
    <t>M20X90</t>
  </si>
  <si>
    <t>M20X100</t>
  </si>
  <si>
    <t>M20X120</t>
  </si>
  <si>
    <t>M20X270</t>
  </si>
  <si>
    <t>M24X100</t>
  </si>
  <si>
    <t>M24X110</t>
  </si>
  <si>
    <t>M24X320</t>
  </si>
  <si>
    <t>M12X220</t>
  </si>
  <si>
    <t>M20X60</t>
  </si>
  <si>
    <t>M8X40</t>
  </si>
  <si>
    <t>M8X35</t>
  </si>
  <si>
    <t>M5X40</t>
  </si>
  <si>
    <t>SS</t>
  </si>
  <si>
    <t xml:space="preserve">STUD SIZE </t>
  </si>
  <si>
    <t>STUD QUANTITY</t>
  </si>
  <si>
    <t>M8-STUDX50</t>
  </si>
  <si>
    <t>M8-STUDX40</t>
  </si>
  <si>
    <t>M10-STUDX30</t>
  </si>
  <si>
    <t>M10-STUDX40</t>
  </si>
  <si>
    <t>M10-STUDX75</t>
  </si>
  <si>
    <t>M12-STUDX40</t>
  </si>
  <si>
    <t>M12-STUDX50</t>
  </si>
  <si>
    <t>M12-STUDX60</t>
  </si>
  <si>
    <t>M12-STUDX70</t>
  </si>
  <si>
    <t>M12-STUDX80</t>
  </si>
  <si>
    <t>M12-STUDX85</t>
  </si>
  <si>
    <t>M16-STUDX75</t>
  </si>
  <si>
    <t>M20-STUDX140</t>
  </si>
  <si>
    <t>M16-STUDX130</t>
  </si>
  <si>
    <t>M16-STUDX140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</si>
  <si>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</si>
  <si>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</si>
  <si>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</si>
  <si>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</si>
  <si>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</si>
  <si>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</si>
  <si>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</si>
  <si>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</si>
  <si>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</si>
  <si>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</si>
  <si>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</si>
  <si>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</si>
  <si>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</si>
  <si>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</si>
  <si>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</si>
  <si>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</si>
  <si>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</si>
  <si>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</si>
  <si>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</si>
  <si>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</si>
  <si>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</si>
  <si>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</si>
  <si>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</si>
  <si>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</si>
  <si>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</si>
  <si>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</si>
  <si>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</si>
  <si>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</si>
  <si>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</si>
  <si>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</si>
  <si>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</si>
  <si>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</si>
  <si>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</si>
  <si>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</si>
  <si>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</si>
  <si>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</si>
  <si>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</si>
  <si>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</si>
  <si>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</si>
  <si>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</si>
  <si>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</si>
  <si>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</si>
  <si>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</si>
  <si>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</si>
  <si>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</si>
  <si>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</si>
  <si>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</si>
  <si>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</si>
  <si>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</si>
  <si>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</si>
  <si>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</si>
  <si>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</si>
  <si>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</si>
  <si>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</si>
  <si>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</si>
  <si>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</si>
  <si>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</si>
  <si>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</si>
  <si>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</si>
  <si>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</si>
  <si>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</si>
  <si>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</si>
  <si>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</si>
  <si>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</si>
  <si>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</si>
  <si>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</si>
  <si>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</si>
  <si>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</si>
  <si>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</si>
  <si>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</si>
  <si>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</si>
  <si>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</si>
  <si>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</si>
  <si>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</si>
  <si>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</si>
  <si>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</si>
  <si>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</si>
  <si>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</si>
  <si>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</si>
  <si>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</si>
  <si>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</si>
  <si>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</si>
  <si>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</si>
  <si>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</si>
  <si>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</si>
  <si>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</si>
  <si>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</si>
  <si>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</si>
  <si>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</si>
  <si>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</si>
  <si>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</si>
  <si>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</si>
  <si>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</si>
  <si>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</si>
  <si>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</si>
  <si>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</si>
  <si>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</si>
  <si>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</si>
  <si>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</si>
  <si>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</si>
  <si>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</si>
  <si>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</si>
  <si>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</si>
  <si>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</si>
  <si>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</si>
  <si>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</si>
  <si>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</si>
  <si>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</si>
  <si>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</si>
  <si>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</si>
  <si>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</si>
  <si>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</si>
  <si>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</si>
  <si>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</si>
  <si>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</si>
  <si>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</si>
  <si>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</si>
  <si>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</si>
  <si>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</si>
  <si>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</si>
  <si>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</si>
  <si>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</si>
  <si>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</si>
  <si>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</si>
  <si>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</si>
  <si>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</si>
  <si>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</si>
  <si>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</si>
  <si>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</si>
  <si>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</si>
  <si>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</si>
  <si>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</si>
  <si>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</si>
  <si>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</si>
  <si>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</si>
  <si>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</si>
  <si>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</si>
  <si>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</si>
  <si>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</si>
  <si>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</si>
  <si>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</si>
  <si>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</si>
  <si>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</si>
  <si>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</si>
  <si>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</si>
  <si>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</si>
  <si>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</si>
  <si>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</si>
  <si>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</si>
  <si>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</si>
  <si>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</si>
  <si>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</si>
  <si>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</si>
  <si>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</si>
  <si>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</si>
  <si>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</si>
  <si>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</si>
  <si>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</si>
  <si>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</si>
  <si>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</si>
  <si>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</si>
  <si>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</si>
  <si>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</si>
  <si>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</si>
  <si>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</si>
  <si>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</si>
  <si>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</si>
  <si>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</si>
  <si>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</si>
  <si>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</si>
  <si>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</si>
  <si>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</si>
  <si>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</si>
  <si>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</si>
  <si>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</si>
  <si>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</si>
  <si>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</si>
  <si>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</si>
  <si>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</si>
  <si>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</si>
  <si>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</si>
  <si>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</si>
  <si>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</si>
  <si>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</si>
  <si>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</si>
  <si>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</si>
  <si>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</si>
  <si>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</si>
  <si>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</si>
  <si>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</si>
  <si>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</si>
  <si>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</si>
  <si>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</si>
  <si>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</si>
  <si>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</si>
  <si>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</si>
  <si>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</si>
  <si>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</si>
  <si>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</si>
  <si>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</si>
  <si>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</si>
  <si>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</si>
  <si>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</si>
  <si>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</si>
  <si>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</si>
  <si>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</si>
  <si>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</si>
  <si>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</si>
  <si>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</si>
  <si>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</si>
  <si>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</si>
  <si>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</si>
  <si>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</si>
  <si>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</si>
  <si>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</si>
  <si>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</si>
  <si>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</si>
  <si>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</si>
  <si>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</si>
  <si>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</si>
  <si>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</si>
  <si>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</si>
  <si>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</si>
  <si>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</si>
  <si>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</si>
  <si>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</si>
  <si>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</si>
  <si>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</si>
  <si>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</si>
  <si>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</si>
  <si>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</si>
  <si>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</si>
  <si>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</si>
  <si>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</si>
  <si>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</si>
  <si>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</si>
  <si>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</si>
  <si>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</si>
  <si>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</si>
  <si>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</si>
  <si>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</si>
  <si>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</si>
  <si>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</si>
  <si>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</si>
  <si>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</si>
  <si>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</si>
  <si>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</si>
  <si>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</si>
  <si>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</si>
  <si>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</si>
  <si>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</si>
  <si>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</si>
  <si>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</si>
  <si>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</si>
  <si>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</si>
  <si>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</si>
  <si>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</si>
  <si>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</si>
  <si>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</si>
  <si>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</si>
  <si>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</si>
  <si>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</si>
  <si>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</si>
  <si>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</si>
  <si>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</si>
  <si>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</si>
  <si>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</si>
  <si>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</si>
  <si>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</si>
  <si>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</si>
  <si>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</si>
  <si>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</si>
  <si>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</si>
  <si>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</si>
  <si>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</si>
  <si>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</si>
  <si>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</si>
  <si>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</si>
  <si>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</si>
  <si>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</si>
  <si>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</si>
  <si>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</si>
  <si>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</si>
  <si>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</si>
  <si>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</si>
  <si>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</si>
  <si>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</si>
  <si>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</si>
  <si>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</si>
  <si>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</si>
  <si>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</si>
  <si>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</si>
  <si>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</si>
  <si>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</si>
  <si>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</si>
  <si>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</si>
  <si>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</si>
  <si>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</si>
  <si>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</si>
  <si>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</si>
  <si>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</si>
  <si>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</si>
  <si>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</si>
  <si>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</si>
  <si>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</si>
  <si>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</si>
  <si>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</si>
  <si>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</si>
  <si>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</si>
  <si>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</si>
  <si>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</si>
  <si>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</si>
  <si>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</si>
  <si>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</si>
  <si>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</si>
  <si>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</si>
  <si>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</si>
  <si>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</si>
  <si>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</si>
  <si>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</si>
  <si>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</si>
  <si>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</si>
  <si>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</si>
  <si>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</si>
  <si>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</si>
  <si>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</si>
  <si>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</si>
  <si>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</si>
  <si>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</si>
  <si>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</si>
  <si>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</si>
  <si>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</si>
  <si>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</si>
  <si>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</si>
  <si>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</si>
  <si>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</si>
  <si>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</si>
  <si>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</si>
  <si>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</si>
  <si>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</si>
  <si>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</si>
  <si>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</si>
  <si>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</si>
  <si>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</si>
  <si>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</si>
  <si>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</si>
  <si>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</si>
  <si>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</si>
  <si>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</si>
  <si>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</si>
  <si>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</si>
  <si>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</si>
  <si>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</si>
  <si>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</si>
  <si>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</si>
  <si>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</si>
  <si>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</si>
  <si>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</si>
  <si>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</si>
  <si>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</si>
  <si>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</si>
  <si>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</si>
  <si>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</si>
  <si>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</si>
  <si>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</si>
  <si>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</si>
  <si>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</si>
  <si>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</si>
  <si>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</si>
  <si>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</si>
  <si>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</si>
  <si>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</si>
  <si>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</si>
  <si>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</si>
  <si>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</si>
  <si>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</si>
  <si>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</si>
  <si>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</si>
  <si>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</si>
  <si>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</si>
  <si>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</si>
  <si>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</si>
  <si>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</si>
  <si>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</si>
  <si>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</si>
  <si>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</si>
  <si>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</si>
  <si>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</si>
  <si>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</si>
  <si>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</si>
  <si>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</si>
  <si>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</si>
  <si>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</si>
  <si>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</si>
  <si>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</si>
  <si>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</si>
  <si>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</si>
  <si>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</si>
  <si>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</si>
  <si>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</si>
  <si>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</si>
  <si>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</si>
  <si>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</si>
  <si>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</si>
  <si>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</si>
  <si>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</si>
  <si>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</si>
  <si>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</si>
  <si>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</si>
  <si>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</si>
  <si>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</si>
  <si>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</si>
  <si>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</si>
  <si>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</si>
  <si>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</si>
  <si>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</si>
  <si>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</si>
  <si>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</si>
  <si>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</si>
  <si>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</si>
  <si>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</si>
  <si>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</si>
  <si>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</si>
  <si>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</si>
  <si>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</si>
  <si>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</si>
  <si>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</si>
  <si>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</si>
  <si>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</si>
  <si>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</si>
  <si>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</si>
  <si>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</si>
  <si>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</si>
  <si>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</si>
  <si>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</si>
  <si>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</si>
  <si>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</si>
  <si>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</si>
  <si>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</si>
  <si>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</si>
  <si>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</si>
  <si>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</si>
  <si>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</si>
  <si>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</si>
  <si>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</si>
  <si>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</si>
  <si>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</si>
  <si>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</si>
  <si>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</si>
  <si>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</si>
  <si>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</si>
  <si>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</si>
  <si>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</si>
  <si>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</si>
  <si>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</si>
  <si>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</si>
  <si>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</si>
  <si>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</si>
  <si>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</si>
  <si>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</si>
  <si>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</si>
  <si>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</si>
  <si>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</si>
  <si>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</si>
  <si>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</si>
  <si>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</si>
  <si>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</si>
  <si>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</si>
  <si>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</si>
  <si>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</si>
  <si>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</si>
  <si>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</si>
  <si>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</si>
  <si>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</si>
  <si>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</si>
  <si>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</si>
  <si>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</si>
  <si>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</si>
  <si>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</si>
  <si>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</si>
  <si>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</si>
  <si>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</si>
  <si>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</si>
  <si>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</si>
  <si>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</si>
  <si>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</si>
  <si>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</si>
  <si>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</si>
  <si>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</si>
  <si>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</si>
  <si>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</si>
  <si>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</si>
  <si>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</si>
  <si>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</si>
  <si>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</si>
  <si>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</si>
  <si>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</si>
  <si>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</si>
  <si>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</si>
  <si>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</si>
  <si>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</si>
  <si>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</si>
  <si>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</si>
  <si>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</si>
  <si>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ASM-1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</si>
  <si>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</si>
  <si>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</si>
  <si>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</si>
  <si>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</si>
  <si>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</si>
  <si>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</si>
  <si>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</si>
  <si>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</si>
  <si>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</si>
  <si>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</si>
  <si>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</si>
  <si>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</si>
  <si>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</si>
  <si>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</si>
  <si>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</si>
  <si>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</si>
  <si>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</si>
  <si>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</si>
  <si>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</si>
  <si>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</si>
  <si>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</si>
  <si>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</si>
  <si>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</si>
  <si>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</si>
  <si>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</si>
  <si>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</si>
  <si>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</si>
  <si>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</si>
  <si>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</si>
  <si>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</si>
  <si>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</si>
  <si>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</si>
  <si>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</si>
  <si>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</si>
  <si>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</si>
  <si>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</si>
  <si>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</si>
  <si>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</si>
  <si>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</si>
  <si>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</si>
  <si>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</si>
  <si>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</si>
  <si>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</si>
  <si>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</si>
  <si>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</si>
  <si>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</si>
  <si>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</si>
  <si>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</si>
  <si>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</si>
  <si>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</si>
  <si>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</si>
  <si>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</si>
  <si>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</si>
  <si>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</si>
  <si>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</si>
  <si>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</si>
  <si>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</si>
  <si>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</si>
  <si>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</si>
  <si>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</si>
  <si>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</si>
  <si>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</si>
  <si>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</si>
  <si>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</si>
  <si>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</si>
  <si>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</si>
  <si>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</si>
  <si>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</si>
  <si>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</si>
  <si>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</si>
  <si>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</si>
  <si>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</si>
  <si>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</si>
  <si>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</si>
  <si>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</si>
  <si>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</si>
  <si>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</si>
  <si>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</si>
  <si>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</si>
  <si>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</si>
  <si>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</si>
  <si>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</si>
  <si>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</si>
  <si>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</si>
  <si>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</si>
  <si>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</si>
  <si>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</si>
  <si>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</si>
  <si>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</si>
  <si>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</si>
  <si>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</si>
  <si>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</si>
  <si>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</si>
  <si>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</si>
  <si>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</si>
  <si>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</si>
  <si>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</si>
  <si>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</si>
  <si>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</si>
  <si>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</si>
  <si>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</si>
  <si>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</si>
  <si>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</si>
  <si>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</si>
  <si>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</si>
  <si>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</si>
  <si>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</si>
  <si>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</si>
  <si>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</si>
  <si>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</si>
  <si>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</si>
  <si>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</si>
  <si>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</si>
  <si>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</si>
  <si>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</si>
  <si>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</si>
  <si>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</si>
  <si>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</si>
  <si>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</si>
  <si>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</si>
  <si>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</si>
  <si>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</si>
  <si>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</si>
  <si>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</si>
  <si>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</si>
  <si>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</si>
  <si>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</si>
  <si>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</si>
  <si>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</si>
  <si>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</si>
  <si>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</si>
  <si>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</si>
  <si>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</si>
  <si>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</si>
  <si>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</si>
  <si>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</si>
  <si>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</si>
  <si>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</si>
  <si>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</si>
  <si>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</si>
  <si>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</si>
  <si>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</si>
  <si>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</si>
  <si>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</si>
  <si>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</si>
  <si>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</si>
  <si>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</si>
  <si>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</si>
  <si>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</si>
  <si>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</si>
  <si>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</si>
  <si>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</si>
  <si>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</si>
  <si>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</si>
  <si>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</si>
  <si>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</si>
  <si>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</si>
  <si>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</si>
  <si>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</si>
  <si>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</si>
  <si>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</si>
  <si>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</si>
  <si>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</si>
  <si>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</si>
  <si>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</si>
  <si>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</si>
  <si>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</si>
  <si>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</si>
  <si>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</si>
  <si>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</si>
  <si>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</si>
  <si>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</si>
  <si>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</si>
  <si>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</si>
  <si>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</si>
  <si>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</si>
  <si>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</si>
  <si>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</si>
  <si>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</si>
  <si>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</si>
  <si>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</si>
  <si>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</si>
  <si>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</si>
  <si>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</si>
  <si>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</si>
  <si>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</si>
  <si>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</si>
  <si>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</si>
  <si>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</si>
  <si>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</si>
  <si>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</si>
  <si>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</si>
  <si>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</si>
  <si>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</si>
  <si>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</si>
  <si>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</si>
  <si>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</si>
  <si>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</si>
  <si>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</si>
  <si>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</si>
  <si>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</si>
  <si>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</si>
  <si>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</si>
  <si>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</si>
  <si>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</si>
  <si>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</si>
  <si>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</si>
  <si>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</si>
  <si>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</si>
  <si>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</si>
  <si>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</si>
  <si>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</si>
  <si>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</si>
  <si>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</si>
  <si>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</si>
  <si>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</si>
  <si>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</si>
  <si>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</si>
  <si>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</si>
  <si>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</si>
  <si>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</si>
  <si>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</si>
  <si>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</si>
  <si>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</si>
  <si>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</si>
  <si>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</si>
  <si>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</si>
  <si>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</si>
  <si>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</si>
  <si>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</si>
  <si>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</si>
  <si>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</si>
  <si>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</si>
  <si>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</si>
  <si>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</si>
  <si>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</si>
  <si>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</si>
  <si>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</si>
  <si>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</si>
  <si>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</si>
  <si>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</si>
  <si>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</si>
  <si>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</si>
  <si>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</si>
  <si>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</si>
  <si>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</si>
  <si>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</si>
  <si>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</si>
  <si>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</si>
  <si>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</si>
  <si>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</si>
  <si>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</si>
  <si>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</si>
  <si>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</si>
  <si>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</si>
  <si>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</si>
  <si>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</si>
  <si>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</si>
  <si>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</si>
  <si>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</si>
  <si>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</si>
  <si>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</si>
  <si>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</si>
  <si>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</si>
  <si>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</si>
  <si>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</si>
  <si>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</si>
  <si>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</si>
  <si>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HDG-8.8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</si>
</sst>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28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0" borderId="41" xfId="0" applyFont="1" applyBorder="1" applyAlignment="1">
      <alignment horizontal="center" vertical="center"/>
    </xf>
    <xf numFmtId="0" fontId="0" fillId="0" borderId="37" xfId="0" applyBorder="1"/>
    <xf numFmtId="0" fontId="0" fillId="0" borderId="2" xfId="0" applyBorder="1" applyAlignment="1">
      <alignment horizontal="center" vertical="center"/>
    </xf>
    <xf numFmtId="0" fontId="0" fillId="0" borderId="34" xfId="0" applyBorder="1"/>
    <xf numFmtId="0" fontId="0" fillId="0" borderId="22" xfId="0" applyBorder="1"/>
    <xf numFmtId="0" fontId="0" fillId="0" borderId="23" xfId="0" applyBorder="1"/>
    <xf numFmtId="0" fontId="0" fillId="0" borderId="36" xfId="0" applyBorder="1"/>
    <xf numFmtId="0" fontId="0" fillId="0" borderId="35" xfId="0" applyBorder="1"/>
    <xf numFmtId="0" fontId="5" fillId="0" borderId="1" xfId="0" applyFont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1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2" xfId="0" applyBorder="1"/>
    <xf numFmtId="0" fontId="8" fillId="0" borderId="1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1" xfId="0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10" xfId="0" applyBorder="1"/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11" fillId="0" borderId="0" xfId="0" applyFont="1"/>
    <xf numFmtId="0" fontId="5" fillId="0" borderId="4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3" activePane="bottomLeft" state="frozen"/>
      <selection pane="bottomLeft" activeCell="L224" sqref="L224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90</v>
      </c>
      <c r="B1" s="52" t="s">
        <v>91</v>
      </c>
      <c r="C1" s="52" t="s">
        <v>92</v>
      </c>
      <c r="D1" s="52" t="s">
        <v>93</v>
      </c>
      <c r="E1" s="52" t="s">
        <v>94</v>
      </c>
      <c r="F1" s="52" t="s">
        <v>95</v>
      </c>
      <c r="G1" s="57" t="s">
        <v>96</v>
      </c>
      <c r="H1" s="57" t="s">
        <v>97</v>
      </c>
      <c r="I1" s="57" t="s">
        <v>98</v>
      </c>
      <c r="J1" s="57" t="s">
        <v>99</v>
      </c>
      <c r="K1" s="57" t="s">
        <v>100</v>
      </c>
      <c r="M1" s="57" t="s">
        <v>101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102</v>
      </c>
      <c r="B2" s="55" t="s">
        <v>103</v>
      </c>
      <c r="C2" s="53" t="s">
        <v>82</v>
      </c>
      <c r="D2" s="53" t="s">
        <v>82</v>
      </c>
      <c r="E2" s="53" t="s">
        <v>82</v>
      </c>
      <c r="F2" s="53" t="s">
        <v>82</v>
      </c>
      <c r="M2" s="7" t="s">
        <v>104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105</v>
      </c>
      <c r="B3" s="55" t="s">
        <v>106</v>
      </c>
      <c r="C3" s="53" t="s">
        <v>82</v>
      </c>
      <c r="D3" s="53" t="s">
        <v>82</v>
      </c>
      <c r="E3" s="53" t="s">
        <v>82</v>
      </c>
      <c r="F3" s="53" t="s">
        <v>82</v>
      </c>
      <c r="M3" s="65" t="s">
        <v>107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108</v>
      </c>
      <c r="B4" s="55" t="s">
        <v>109</v>
      </c>
      <c r="C4" s="54" t="str">
        <f>CONCATENATE("M12x45","-",N5)</f>
        <v>M12x45-HDG-8.8</v>
      </c>
      <c r="D4" s="54">
        <v>4</v>
      </c>
      <c r="E4" s="54" t="s">
        <v>110</v>
      </c>
      <c r="F4" s="53" t="s">
        <v>82</v>
      </c>
      <c r="N4" s="9"/>
      <c r="O4" s="9"/>
      <c r="P4" s="9"/>
      <c r="R4" s="9"/>
    </row>
    <row r="5" spans="1:21" ht="17.45" customHeight="1" x14ac:dyDescent="0.25">
      <c r="A5" s="53" t="s">
        <v>111</v>
      </c>
      <c r="B5" s="56" t="s">
        <v>112</v>
      </c>
      <c r="C5" s="54" t="str">
        <f>CONCATENATE("M16x50","-",N6)</f>
        <v>M16x50-HDG-8.8</v>
      </c>
      <c r="D5" s="54">
        <v>6</v>
      </c>
      <c r="E5" s="53" t="s">
        <v>82</v>
      </c>
      <c r="F5" s="53" t="s">
        <v>113</v>
      </c>
      <c r="M5" s="34" t="s">
        <v>114</v>
      </c>
      <c r="N5" s="7" t="str">
        <f>'TANK HARDWARE'!C4</f>
        <v>HDG-8.8</v>
      </c>
      <c r="S5" s="3"/>
      <c r="U5" s="3"/>
    </row>
    <row r="6" spans="1:21" ht="17.45" customHeight="1" x14ac:dyDescent="0.25">
      <c r="A6" s="53" t="s">
        <v>115</v>
      </c>
      <c r="B6" s="56" t="s">
        <v>116</v>
      </c>
      <c r="C6" s="54" t="str">
        <f>CONCATENATE("M16x50","-",N6)</f>
        <v>M16x50-HDG-8.8</v>
      </c>
      <c r="D6" s="54">
        <v>6</v>
      </c>
      <c r="E6" s="53" t="s">
        <v>82</v>
      </c>
      <c r="F6" s="53" t="s">
        <v>82</v>
      </c>
      <c r="M6" s="34" t="s">
        <v>117</v>
      </c>
      <c r="N6" s="7" t="str">
        <f>'TANK HARDWARE'!C5</f>
        <v>HDG-8.8</v>
      </c>
      <c r="S6" s="3"/>
      <c r="U6" s="3"/>
    </row>
    <row r="7" spans="1:21" ht="17.45" customHeight="1" x14ac:dyDescent="0.25">
      <c r="A7" s="54" t="s">
        <v>118</v>
      </c>
      <c r="B7" s="55" t="s">
        <v>119</v>
      </c>
      <c r="C7" s="53" t="s">
        <v>82</v>
      </c>
      <c r="D7" s="53" t="s">
        <v>82</v>
      </c>
      <c r="E7" s="53" t="s">
        <v>120</v>
      </c>
      <c r="F7" s="53" t="s">
        <v>82</v>
      </c>
      <c r="S7" s="3"/>
      <c r="U7" s="3"/>
    </row>
    <row r="8" spans="1:21" ht="17.45" customHeight="1" x14ac:dyDescent="0.25">
      <c r="A8" s="54" t="s">
        <v>121</v>
      </c>
      <c r="B8" s="55" t="s">
        <v>122</v>
      </c>
      <c r="C8" s="53" t="s">
        <v>82</v>
      </c>
      <c r="D8" s="53" t="s">
        <v>82</v>
      </c>
      <c r="E8" s="54" t="s">
        <v>123</v>
      </c>
      <c r="F8" s="53" t="s">
        <v>82</v>
      </c>
      <c r="M8" s="57" t="s">
        <v>124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125</v>
      </c>
      <c r="B9" s="56" t="s">
        <v>126</v>
      </c>
      <c r="C9" s="54" t="s">
        <v>127</v>
      </c>
      <c r="D9" s="53">
        <v>2</v>
      </c>
      <c r="E9" s="53" t="s">
        <v>82</v>
      </c>
      <c r="F9" s="53" t="s">
        <v>82</v>
      </c>
      <c r="M9" s="7" t="s">
        <v>128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129</v>
      </c>
      <c r="B10" s="55" t="s">
        <v>130</v>
      </c>
      <c r="E10" s="54" t="s">
        <v>131</v>
      </c>
      <c r="F10" s="53" t="s">
        <v>82</v>
      </c>
      <c r="M10" s="65" t="s">
        <v>107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132</v>
      </c>
      <c r="B11" s="56" t="s">
        <v>133</v>
      </c>
      <c r="C11" s="53" t="s">
        <v>134</v>
      </c>
      <c r="D11" s="53">
        <v>16</v>
      </c>
      <c r="E11" s="53" t="s">
        <v>82</v>
      </c>
      <c r="F11" s="53" t="s">
        <v>82</v>
      </c>
      <c r="S11" s="3"/>
    </row>
    <row r="12" spans="1:21" ht="17.45" customHeight="1" x14ac:dyDescent="0.25">
      <c r="A12" s="53" t="s">
        <v>135</v>
      </c>
      <c r="B12" s="56" t="s">
        <v>136</v>
      </c>
      <c r="F12" s="53" t="s">
        <v>82</v>
      </c>
      <c r="S12" s="3"/>
    </row>
    <row r="13" spans="1:21" ht="17.45" customHeight="1" x14ac:dyDescent="0.25">
      <c r="A13" s="53" t="s">
        <v>137</v>
      </c>
      <c r="B13" s="55" t="s">
        <v>138</v>
      </c>
      <c r="C13" s="54" t="str">
        <f>CONCATENATE("S-M10x75","-","HDG")</f>
        <v>S-M10x75-HDG</v>
      </c>
      <c r="D13" s="54">
        <v>4</v>
      </c>
      <c r="E13" s="53" t="s">
        <v>139</v>
      </c>
      <c r="F13" s="53" t="s">
        <v>82</v>
      </c>
      <c r="S13" s="3"/>
    </row>
    <row r="14" spans="1:21" ht="17.45" customHeight="1" x14ac:dyDescent="0.25">
      <c r="A14" s="53" t="s">
        <v>140</v>
      </c>
      <c r="B14" s="55" t="s">
        <v>141</v>
      </c>
      <c r="C14" s="54" t="str">
        <f>CONCATENATE("S-M10x75","-","HDG")</f>
        <v>S-M10x75-HDG</v>
      </c>
      <c r="D14" s="54">
        <v>6</v>
      </c>
      <c r="E14" s="53" t="s">
        <v>139</v>
      </c>
      <c r="F14" s="53" t="s">
        <v>82</v>
      </c>
      <c r="S14" s="3"/>
      <c r="U14" s="3"/>
    </row>
    <row r="15" spans="1:21" ht="17.45" customHeight="1" x14ac:dyDescent="0.25">
      <c r="A15" s="53" t="s">
        <v>142</v>
      </c>
      <c r="B15" s="55" t="s">
        <v>143</v>
      </c>
      <c r="C15" s="54" t="str">
        <f>CONCATENATE("S-M12x85","-","HDG")</f>
        <v>S-M12x85-HDG</v>
      </c>
      <c r="D15" s="54">
        <v>6</v>
      </c>
      <c r="E15" s="53" t="s">
        <v>139</v>
      </c>
      <c r="F15" s="53" t="s">
        <v>82</v>
      </c>
      <c r="S15" s="3"/>
      <c r="U15" s="3"/>
    </row>
    <row r="16" spans="1:21" ht="17.45" customHeight="1" x14ac:dyDescent="0.25">
      <c r="A16" s="53" t="s">
        <v>144</v>
      </c>
      <c r="B16" s="55" t="s">
        <v>145</v>
      </c>
      <c r="C16" s="54" t="str">
        <f>CONCATENATE("S-M12x85","-","HDG")</f>
        <v>S-M12x85-HDG</v>
      </c>
      <c r="D16" s="54">
        <v>6</v>
      </c>
      <c r="E16" s="53" t="s">
        <v>139</v>
      </c>
      <c r="F16" s="53" t="s">
        <v>82</v>
      </c>
      <c r="S16" s="3"/>
      <c r="U16" s="3"/>
    </row>
    <row r="17" spans="1:21" ht="17.45" customHeight="1" x14ac:dyDescent="0.25">
      <c r="A17" s="53" t="s">
        <v>146</v>
      </c>
      <c r="B17" s="55" t="s">
        <v>147</v>
      </c>
      <c r="C17" s="54" t="str">
        <f>CONCATENATE("S-M12x85","-","HDG")</f>
        <v>S-M12x85-HDG</v>
      </c>
      <c r="D17" s="54">
        <v>6</v>
      </c>
      <c r="E17" s="53" t="s">
        <v>139</v>
      </c>
      <c r="F17" s="53" t="s">
        <v>82</v>
      </c>
      <c r="S17" s="3"/>
      <c r="U17" s="3"/>
    </row>
    <row r="18" spans="1:21" ht="17.45" customHeight="1" x14ac:dyDescent="0.25">
      <c r="A18" s="53" t="s">
        <v>148</v>
      </c>
      <c r="B18" s="55" t="s">
        <v>149</v>
      </c>
      <c r="C18" s="54" t="str">
        <f>CONCATENATE("S-M12x75","-","HDG")</f>
        <v>S-M12x75-HDG</v>
      </c>
      <c r="D18" s="54">
        <v>6</v>
      </c>
      <c r="E18" s="53" t="s">
        <v>139</v>
      </c>
      <c r="F18" s="53" t="s">
        <v>82</v>
      </c>
      <c r="S18" s="3"/>
      <c r="U18" s="3"/>
    </row>
    <row r="19" spans="1:21" ht="17.45" customHeight="1" x14ac:dyDescent="0.25">
      <c r="A19" s="53" t="s">
        <v>150</v>
      </c>
      <c r="B19" s="55" t="s">
        <v>151</v>
      </c>
      <c r="C19" s="54" t="str">
        <f>CONCATENATE("S-M12x75","-","HDG")</f>
        <v>S-M12x75-HDG</v>
      </c>
      <c r="D19" s="54">
        <v>6</v>
      </c>
      <c r="E19" s="53" t="s">
        <v>139</v>
      </c>
      <c r="F19" s="53" t="s">
        <v>82</v>
      </c>
    </row>
    <row r="20" spans="1:21" ht="17.45" customHeight="1" x14ac:dyDescent="0.25">
      <c r="A20" s="53" t="s">
        <v>152</v>
      </c>
      <c r="B20" s="55" t="s">
        <v>153</v>
      </c>
      <c r="C20" s="54" t="str">
        <f>CONCATENATE("S-M12x75","-","HDG")</f>
        <v>S-M12x75-HDG</v>
      </c>
      <c r="D20" s="54">
        <v>8</v>
      </c>
      <c r="E20" s="53" t="s">
        <v>139</v>
      </c>
      <c r="F20" s="53" t="s">
        <v>82</v>
      </c>
    </row>
    <row r="21" spans="1:21" ht="17.45" customHeight="1" x14ac:dyDescent="0.25">
      <c r="A21" s="53" t="s">
        <v>154</v>
      </c>
      <c r="B21" s="55" t="s">
        <v>155</v>
      </c>
      <c r="C21" s="54" t="str">
        <f>CONCATENATE("S-M12x75","-","HDG")</f>
        <v>S-M12x75-HDG</v>
      </c>
      <c r="D21" s="54">
        <v>12</v>
      </c>
      <c r="E21" s="53" t="s">
        <v>139</v>
      </c>
      <c r="F21" s="53" t="s">
        <v>82</v>
      </c>
    </row>
    <row r="22" spans="1:21" ht="17.45" customHeight="1" x14ac:dyDescent="0.25">
      <c r="A22" s="53" t="s">
        <v>156</v>
      </c>
      <c r="B22" s="55" t="s">
        <v>157</v>
      </c>
      <c r="C22" s="54" t="str">
        <f>CONCATENATE("S-M16x75","-","HDG")</f>
        <v>S-M16x75-HDG</v>
      </c>
      <c r="D22" s="54">
        <v>12</v>
      </c>
      <c r="E22" s="53" t="s">
        <v>139</v>
      </c>
      <c r="F22" s="53" t="s">
        <v>82</v>
      </c>
    </row>
    <row r="23" spans="1:21" ht="17.45" customHeight="1" x14ac:dyDescent="0.25">
      <c r="A23" s="53" t="s">
        <v>158</v>
      </c>
      <c r="B23" s="55" t="s">
        <v>159</v>
      </c>
      <c r="C23" s="54" t="str">
        <f>CONCATENATE("S-M20x75","-","HDG")</f>
        <v>S-M20x75-HDG</v>
      </c>
      <c r="D23" s="54">
        <v>12</v>
      </c>
      <c r="E23" s="53" t="s">
        <v>139</v>
      </c>
      <c r="F23" s="53" t="s">
        <v>82</v>
      </c>
    </row>
    <row r="24" spans="1:21" ht="17.45" customHeight="1" x14ac:dyDescent="0.25">
      <c r="A24" s="53" t="s">
        <v>160</v>
      </c>
      <c r="B24" s="56" t="s">
        <v>161</v>
      </c>
      <c r="C24" s="54" t="str">
        <f>CONCATENATE("M8x40","-",N5)</f>
        <v>M8x40-HDG-8.8</v>
      </c>
      <c r="D24" s="54">
        <v>2</v>
      </c>
      <c r="E24" s="53" t="s">
        <v>82</v>
      </c>
      <c r="F24" s="53" t="s">
        <v>82</v>
      </c>
    </row>
    <row r="25" spans="1:21" ht="17.45" customHeight="1" x14ac:dyDescent="0.25">
      <c r="A25" s="53" t="s">
        <v>162</v>
      </c>
      <c r="B25" s="55" t="s">
        <v>163</v>
      </c>
      <c r="E25" s="53" t="s">
        <v>164</v>
      </c>
      <c r="F25" s="53" t="s">
        <v>82</v>
      </c>
    </row>
    <row r="26" spans="1:21" ht="17.45" customHeight="1" x14ac:dyDescent="0.25">
      <c r="A26" s="53" t="s">
        <v>165</v>
      </c>
      <c r="B26" s="55" t="s">
        <v>166</v>
      </c>
      <c r="E26" s="53" t="s">
        <v>164</v>
      </c>
      <c r="F26" s="53" t="s">
        <v>82</v>
      </c>
    </row>
    <row r="27" spans="1:21" ht="17.45" customHeight="1" x14ac:dyDescent="0.25">
      <c r="A27" s="53" t="s">
        <v>167</v>
      </c>
      <c r="B27" s="56" t="s">
        <v>168</v>
      </c>
      <c r="C27" s="53" t="s">
        <v>169</v>
      </c>
      <c r="D27" s="53">
        <f>1</f>
        <v>1</v>
      </c>
      <c r="E27" s="53" t="s">
        <v>170</v>
      </c>
      <c r="F27" s="53" t="s">
        <v>82</v>
      </c>
    </row>
    <row r="28" spans="1:21" ht="17.45" customHeight="1" x14ac:dyDescent="0.25">
      <c r="C28" s="54" t="str">
        <f>CONCATENATE("S-M12x60","-",N5)</f>
        <v>S-M12x60-HDG-8.8</v>
      </c>
      <c r="D28" s="54">
        <v>8</v>
      </c>
      <c r="E28" s="53" t="s">
        <v>139</v>
      </c>
      <c r="F28" s="53" t="s">
        <v>82</v>
      </c>
    </row>
    <row r="29" spans="1:21" ht="17.45" customHeight="1" x14ac:dyDescent="0.25">
      <c r="C29" s="54" t="str">
        <f>CONCATENATE("S-M12x50","-",N5)</f>
        <v>S-M12x50-HDG-8.8</v>
      </c>
      <c r="D29" s="54">
        <v>20</v>
      </c>
      <c r="E29" s="53" t="s">
        <v>139</v>
      </c>
      <c r="F29" s="53" t="s">
        <v>82</v>
      </c>
    </row>
    <row r="30" spans="1:21" ht="17.45" customHeight="1" x14ac:dyDescent="0.25">
      <c r="A30" s="53" t="s">
        <v>171</v>
      </c>
      <c r="B30" s="56" t="s">
        <v>172</v>
      </c>
      <c r="C30" s="54" t="str">
        <f>CONCATENATE("S-M12x60","-",N5)</f>
        <v>S-M12x60-HDG-8.8</v>
      </c>
      <c r="D30" s="54">
        <v>12</v>
      </c>
      <c r="E30" s="53" t="s">
        <v>139</v>
      </c>
      <c r="F30" s="53" t="s">
        <v>82</v>
      </c>
    </row>
    <row r="31" spans="1:21" ht="17.45" customHeight="1" x14ac:dyDescent="0.25">
      <c r="C31" s="54" t="str">
        <f>CONCATENATE("M12x40","-",N5)</f>
        <v>M12x40-HDG-8.8</v>
      </c>
      <c r="D31" s="54">
        <v>6</v>
      </c>
      <c r="E31" s="53" t="s">
        <v>173</v>
      </c>
      <c r="F31" s="53" t="s">
        <v>82</v>
      </c>
    </row>
    <row r="32" spans="1:21" ht="17.45" customHeight="1" x14ac:dyDescent="0.25">
      <c r="A32" s="53" t="s">
        <v>174</v>
      </c>
      <c r="B32" s="56" t="s">
        <v>172</v>
      </c>
      <c r="C32" s="54" t="str">
        <f>CONCATENATE("S-M12x60","-",N5)</f>
        <v>S-M12x60-HDG-8.8</v>
      </c>
      <c r="D32" s="54">
        <v>12</v>
      </c>
      <c r="E32" s="53" t="s">
        <v>139</v>
      </c>
      <c r="F32" s="53" t="s">
        <v>82</v>
      </c>
    </row>
    <row r="33" spans="1:6" ht="17.45" customHeight="1" x14ac:dyDescent="0.25">
      <c r="C33" s="54" t="str">
        <f>CONCATENATE("M12x40","-",N5)</f>
        <v>M12x40-HDG-8.8</v>
      </c>
      <c r="D33" s="54">
        <v>6</v>
      </c>
      <c r="E33" s="53" t="s">
        <v>173</v>
      </c>
      <c r="F33" s="53" t="s">
        <v>82</v>
      </c>
    </row>
    <row r="34" spans="1:6" ht="17.45" customHeight="1" x14ac:dyDescent="0.25">
      <c r="A34" s="53" t="s">
        <v>175</v>
      </c>
      <c r="B34" s="56" t="s">
        <v>176</v>
      </c>
      <c r="F34" s="53" t="s">
        <v>82</v>
      </c>
    </row>
    <row r="35" spans="1:6" ht="17.45" customHeight="1" x14ac:dyDescent="0.25">
      <c r="B35" s="55" t="s">
        <v>138</v>
      </c>
      <c r="C35" s="54" t="str">
        <f>CONCATENATE("M10x40","-",N5)</f>
        <v>M10x40-HDG-8.8</v>
      </c>
      <c r="D35" s="54">
        <v>4</v>
      </c>
      <c r="F35" s="53" t="s">
        <v>82</v>
      </c>
    </row>
    <row r="36" spans="1:6" ht="17.45" customHeight="1" x14ac:dyDescent="0.25">
      <c r="B36" s="55" t="s">
        <v>141</v>
      </c>
      <c r="C36" s="54" t="str">
        <f>CONCATENATE("M10x40","-",N5)</f>
        <v>M10x40-HDG-8.8</v>
      </c>
      <c r="D36" s="54">
        <v>2</v>
      </c>
      <c r="F36" s="53" t="s">
        <v>82</v>
      </c>
    </row>
    <row r="37" spans="1:6" ht="17.45" customHeight="1" x14ac:dyDescent="0.25">
      <c r="A37" s="54" t="s">
        <v>177</v>
      </c>
      <c r="B37" s="55" t="s">
        <v>178</v>
      </c>
      <c r="E37" s="53" t="s">
        <v>179</v>
      </c>
      <c r="F37" s="53" t="s">
        <v>82</v>
      </c>
    </row>
    <row r="38" spans="1:6" ht="17.45" customHeight="1" x14ac:dyDescent="0.25">
      <c r="A38" s="53" t="s">
        <v>180</v>
      </c>
      <c r="B38" s="56" t="s">
        <v>181</v>
      </c>
      <c r="C38" s="53" t="str">
        <f>CONCATENATE("S-M12x60","-","HDG")</f>
        <v>S-M12x60-HDG</v>
      </c>
      <c r="D38" s="53">
        <v>8</v>
      </c>
      <c r="E38" s="53" t="s">
        <v>139</v>
      </c>
      <c r="F38" s="53" t="s">
        <v>82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173</v>
      </c>
      <c r="F39" s="53" t="s">
        <v>82</v>
      </c>
    </row>
    <row r="40" spans="1:6" ht="17.45" customHeight="1" x14ac:dyDescent="0.25">
      <c r="A40" s="54" t="s">
        <v>182</v>
      </c>
      <c r="B40" s="55" t="s">
        <v>178</v>
      </c>
      <c r="E40" s="53" t="s">
        <v>179</v>
      </c>
      <c r="F40" s="53" t="s">
        <v>82</v>
      </c>
    </row>
    <row r="41" spans="1:6" ht="17.45" customHeight="1" x14ac:dyDescent="0.25">
      <c r="A41" s="54" t="s">
        <v>183</v>
      </c>
      <c r="B41" s="55" t="s">
        <v>178</v>
      </c>
      <c r="E41" s="53" t="s">
        <v>179</v>
      </c>
      <c r="F41" s="53" t="s">
        <v>82</v>
      </c>
    </row>
    <row r="42" spans="1:6" ht="17.45" customHeight="1" x14ac:dyDescent="0.25">
      <c r="A42" s="54" t="s">
        <v>184</v>
      </c>
      <c r="B42" s="55" t="s">
        <v>185</v>
      </c>
      <c r="E42" s="54" t="s">
        <v>186</v>
      </c>
      <c r="F42" s="53" t="s">
        <v>82</v>
      </c>
    </row>
    <row r="43" spans="1:6" ht="17.45" customHeight="1" x14ac:dyDescent="0.25">
      <c r="A43" s="53" t="s">
        <v>187</v>
      </c>
      <c r="B43" s="56" t="s">
        <v>188</v>
      </c>
      <c r="F43" s="53" t="s">
        <v>82</v>
      </c>
    </row>
    <row r="44" spans="1:6" ht="17.45" customHeight="1" x14ac:dyDescent="0.25">
      <c r="B44" s="55" t="s">
        <v>138</v>
      </c>
      <c r="C44" s="54" t="str">
        <f>CONCATENATE("M12x45","-",N5)</f>
        <v>M12x45-HDG-8.8</v>
      </c>
      <c r="D44" s="54">
        <v>4</v>
      </c>
      <c r="E44" s="53" t="s">
        <v>189</v>
      </c>
      <c r="F44" s="53" t="s">
        <v>82</v>
      </c>
    </row>
    <row r="45" spans="1:6" ht="17.45" customHeight="1" x14ac:dyDescent="0.25">
      <c r="B45" s="55" t="s">
        <v>141</v>
      </c>
      <c r="C45" s="54" t="str">
        <f>CONCATENATE("M16x60","-",N6)</f>
        <v>M16x60-HDG-8.8</v>
      </c>
      <c r="D45" s="54">
        <v>4</v>
      </c>
      <c r="E45" s="53" t="s">
        <v>190</v>
      </c>
      <c r="F45" s="53" t="s">
        <v>82</v>
      </c>
    </row>
    <row r="46" spans="1:6" ht="17.45" customHeight="1" x14ac:dyDescent="0.25">
      <c r="B46" s="55" t="s">
        <v>143</v>
      </c>
      <c r="C46" s="54" t="str">
        <f>CONCATENATE("M16x60","-",N6)</f>
        <v>M16x60-HDG-8.8</v>
      </c>
      <c r="D46" s="54">
        <v>4</v>
      </c>
      <c r="E46" s="53" t="s">
        <v>191</v>
      </c>
      <c r="F46" s="53" t="s">
        <v>82</v>
      </c>
    </row>
    <row r="47" spans="1:6" ht="17.45" customHeight="1" x14ac:dyDescent="0.25">
      <c r="B47" s="55" t="s">
        <v>145</v>
      </c>
      <c r="C47" s="54" t="str">
        <f>CONCATENATE("M16x65","-",N6)</f>
        <v>M16x65-HDG-8.8</v>
      </c>
      <c r="D47" s="54">
        <v>4</v>
      </c>
      <c r="E47" s="53" t="s">
        <v>192</v>
      </c>
      <c r="F47" s="53" t="s">
        <v>82</v>
      </c>
    </row>
    <row r="48" spans="1:6" ht="17.45" customHeight="1" x14ac:dyDescent="0.25">
      <c r="B48" s="55" t="s">
        <v>147</v>
      </c>
      <c r="C48" s="54" t="str">
        <f>CONCATENATE("M20x75","-",N6)</f>
        <v>M20x75-HDG-8.8</v>
      </c>
      <c r="D48" s="54">
        <v>8</v>
      </c>
      <c r="E48" s="53" t="s">
        <v>193</v>
      </c>
      <c r="F48" s="53" t="s">
        <v>82</v>
      </c>
    </row>
    <row r="49" spans="1:6" ht="17.45" customHeight="1" x14ac:dyDescent="0.25">
      <c r="B49" s="55" t="s">
        <v>149</v>
      </c>
      <c r="C49" s="54" t="str">
        <f>CONCATENATE("M20x75","-",N6)</f>
        <v>M20x75-HDG-8.8</v>
      </c>
      <c r="D49" s="54">
        <v>8</v>
      </c>
      <c r="E49" s="53" t="s">
        <v>194</v>
      </c>
      <c r="F49" s="53" t="s">
        <v>82</v>
      </c>
    </row>
    <row r="50" spans="1:6" ht="17.45" customHeight="1" x14ac:dyDescent="0.25">
      <c r="B50" s="55" t="s">
        <v>151</v>
      </c>
      <c r="C50" s="54" t="str">
        <f>CONCATENATE("M16x60","-",N6)</f>
        <v>M16x60-HDG-8.8</v>
      </c>
      <c r="D50" s="54">
        <v>8</v>
      </c>
      <c r="E50" s="53" t="s">
        <v>195</v>
      </c>
      <c r="F50" s="53" t="s">
        <v>82</v>
      </c>
    </row>
    <row r="51" spans="1:6" ht="17.45" customHeight="1" x14ac:dyDescent="0.25">
      <c r="B51" s="55" t="s">
        <v>153</v>
      </c>
      <c r="C51" s="54" t="str">
        <f>CONCATENATE("M12x45","-",N5)</f>
        <v>M12x45-HDG-8.8</v>
      </c>
      <c r="D51" s="54">
        <v>4</v>
      </c>
      <c r="E51" s="53" t="s">
        <v>196</v>
      </c>
      <c r="F51" s="53" t="s">
        <v>82</v>
      </c>
    </row>
    <row r="52" spans="1:6" ht="17.45" customHeight="1" x14ac:dyDescent="0.25">
      <c r="A52" s="54" t="s">
        <v>197</v>
      </c>
      <c r="B52" s="55" t="s">
        <v>198</v>
      </c>
      <c r="E52" s="54" t="s">
        <v>199</v>
      </c>
      <c r="F52" s="53" t="s">
        <v>82</v>
      </c>
    </row>
    <row r="53" spans="1:6" ht="17.45" customHeight="1" x14ac:dyDescent="0.25">
      <c r="A53" s="54" t="s">
        <v>200</v>
      </c>
      <c r="B53" s="55" t="s">
        <v>201</v>
      </c>
      <c r="E53" s="54" t="s">
        <v>199</v>
      </c>
      <c r="F53" s="53" t="s">
        <v>82</v>
      </c>
    </row>
    <row r="54" spans="1:6" ht="17.45" customHeight="1" x14ac:dyDescent="0.25">
      <c r="A54" s="54" t="s">
        <v>202</v>
      </c>
      <c r="B54" s="55" t="s">
        <v>203</v>
      </c>
      <c r="E54" s="54" t="s">
        <v>199</v>
      </c>
      <c r="F54" s="53" t="s">
        <v>82</v>
      </c>
    </row>
    <row r="55" spans="1:6" ht="17.45" customHeight="1" x14ac:dyDescent="0.25">
      <c r="A55" s="54" t="s">
        <v>204</v>
      </c>
      <c r="B55" s="55" t="s">
        <v>205</v>
      </c>
      <c r="E55" s="54" t="s">
        <v>206</v>
      </c>
      <c r="F55" s="53" t="s">
        <v>82</v>
      </c>
    </row>
    <row r="56" spans="1:6" ht="17.45" customHeight="1" x14ac:dyDescent="0.25">
      <c r="A56" s="54" t="s">
        <v>207</v>
      </c>
      <c r="B56" s="55" t="s">
        <v>205</v>
      </c>
      <c r="E56" s="54" t="s">
        <v>208</v>
      </c>
      <c r="F56" s="53" t="s">
        <v>82</v>
      </c>
    </row>
    <row r="57" spans="1:6" ht="17.45" customHeight="1" x14ac:dyDescent="0.25">
      <c r="A57" s="54" t="s">
        <v>209</v>
      </c>
      <c r="B57" s="55" t="s">
        <v>210</v>
      </c>
      <c r="E57" s="53" t="s">
        <v>82</v>
      </c>
      <c r="F57" s="53" t="s">
        <v>82</v>
      </c>
    </row>
    <row r="58" spans="1:6" ht="17.45" customHeight="1" x14ac:dyDescent="0.25">
      <c r="A58" s="54" t="s">
        <v>211</v>
      </c>
      <c r="B58" s="55" t="s">
        <v>212</v>
      </c>
      <c r="C58" s="54" t="s">
        <v>213</v>
      </c>
      <c r="D58" s="54">
        <v>6</v>
      </c>
      <c r="E58" s="54" t="s">
        <v>214</v>
      </c>
      <c r="F58" s="53" t="s">
        <v>82</v>
      </c>
    </row>
    <row r="59" spans="1:6" ht="17.45" customHeight="1" x14ac:dyDescent="0.25">
      <c r="A59" s="53" t="s">
        <v>215</v>
      </c>
      <c r="B59" s="56" t="s">
        <v>216</v>
      </c>
      <c r="C59" s="53" t="s">
        <v>217</v>
      </c>
      <c r="D59" s="53">
        <v>4</v>
      </c>
      <c r="F59" s="53" t="s">
        <v>82</v>
      </c>
    </row>
    <row r="60" spans="1:6" ht="17.45" customHeight="1" x14ac:dyDescent="0.25">
      <c r="C60" s="54" t="str">
        <f>CONCATENATE("M10x30","-",N5)</f>
        <v>M10x30-HDG-8.8</v>
      </c>
      <c r="D60" s="54">
        <v>4</v>
      </c>
      <c r="F60" s="53" t="s">
        <v>82</v>
      </c>
    </row>
    <row r="61" spans="1:6" ht="17.45" customHeight="1" x14ac:dyDescent="0.25">
      <c r="C61" s="54" t="str">
        <f>CONCATENATE("M5x40","-",N5)</f>
        <v>M5x40-HDG-8.8</v>
      </c>
      <c r="D61" s="54">
        <v>4</v>
      </c>
      <c r="F61" s="53" t="s">
        <v>82</v>
      </c>
    </row>
    <row r="62" spans="1:6" ht="17.45" customHeight="1" x14ac:dyDescent="0.25">
      <c r="A62" s="53" t="s">
        <v>218</v>
      </c>
      <c r="B62" s="56" t="s">
        <v>219</v>
      </c>
      <c r="F62" s="53" t="s">
        <v>82</v>
      </c>
    </row>
    <row r="63" spans="1:6" ht="17.45" customHeight="1" x14ac:dyDescent="0.25">
      <c r="B63" s="55" t="s">
        <v>138</v>
      </c>
      <c r="C63" s="54" t="str">
        <f>CONCATENATE("S-M12x50","-",N5)</f>
        <v>S-M12x50-HDG-8.8</v>
      </c>
      <c r="D63" s="54">
        <v>16</v>
      </c>
      <c r="E63" s="53" t="s">
        <v>139</v>
      </c>
      <c r="F63" s="53" t="s">
        <v>82</v>
      </c>
    </row>
    <row r="64" spans="1:6" ht="17.45" customHeight="1" x14ac:dyDescent="0.25">
      <c r="B64" s="55" t="s">
        <v>141</v>
      </c>
      <c r="C64" s="54" t="str">
        <f>CONCATENATE("S-M12x50","-",N5)</f>
        <v>S-M12x50-HDG-8.8</v>
      </c>
      <c r="D64" s="54">
        <v>16</v>
      </c>
      <c r="E64" s="53" t="s">
        <v>139</v>
      </c>
      <c r="F64" s="53" t="s">
        <v>82</v>
      </c>
    </row>
    <row r="65" spans="1:6" ht="17.45" customHeight="1" x14ac:dyDescent="0.25">
      <c r="B65" s="55" t="s">
        <v>143</v>
      </c>
      <c r="C65" s="54" t="str">
        <f>CONCATENATE("S-M12x50","-",N5)</f>
        <v>S-M12x50-HDG-8.8</v>
      </c>
      <c r="D65" s="54">
        <v>20</v>
      </c>
      <c r="E65" s="53" t="s">
        <v>139</v>
      </c>
      <c r="F65" s="53" t="s">
        <v>82</v>
      </c>
    </row>
    <row r="66" spans="1:6" ht="17.45" customHeight="1" x14ac:dyDescent="0.25">
      <c r="B66" s="55" t="s">
        <v>145</v>
      </c>
      <c r="C66" s="54" t="str">
        <f>CONCATENATE("S-M12x50","-",N5)</f>
        <v>S-M12x50-HDG-8.8</v>
      </c>
      <c r="D66" s="54">
        <v>16</v>
      </c>
      <c r="E66" s="53" t="s">
        <v>139</v>
      </c>
      <c r="F66" s="53" t="s">
        <v>82</v>
      </c>
    </row>
    <row r="67" spans="1:6" ht="17.45" customHeight="1" x14ac:dyDescent="0.25">
      <c r="B67" s="55" t="s">
        <v>147</v>
      </c>
      <c r="C67" s="54" t="str">
        <f>CONCATENATE("S-M12x50","-",N5)</f>
        <v>S-M12x50-HDG-8.8</v>
      </c>
      <c r="D67" s="54">
        <v>20</v>
      </c>
      <c r="E67" s="53" t="s">
        <v>139</v>
      </c>
      <c r="F67" s="53" t="s">
        <v>82</v>
      </c>
    </row>
    <row r="68" spans="1:6" ht="17.45" customHeight="1" x14ac:dyDescent="0.25">
      <c r="B68" s="55" t="s">
        <v>149</v>
      </c>
      <c r="C68" s="54" t="str">
        <f>CONCATENATE("S-M12x50","-",N5)</f>
        <v>S-M12x50-HDG-8.8</v>
      </c>
      <c r="D68" s="54">
        <v>22</v>
      </c>
      <c r="E68" s="53" t="s">
        <v>139</v>
      </c>
      <c r="F68" s="53" t="s">
        <v>82</v>
      </c>
    </row>
    <row r="69" spans="1:6" ht="17.45" customHeight="1" x14ac:dyDescent="0.25">
      <c r="B69" s="55" t="s">
        <v>151</v>
      </c>
      <c r="C69" s="54" t="str">
        <f>CONCATENATE("S-M12x50","-",N5)</f>
        <v>S-M12x50-HDG-8.8</v>
      </c>
      <c r="D69" s="54">
        <v>20</v>
      </c>
      <c r="E69" s="53" t="s">
        <v>139</v>
      </c>
      <c r="F69" s="53" t="s">
        <v>82</v>
      </c>
    </row>
    <row r="70" spans="1:6" ht="17.45" customHeight="1" x14ac:dyDescent="0.25">
      <c r="B70" s="55" t="s">
        <v>153</v>
      </c>
      <c r="C70" s="54" t="str">
        <f>CONCATENATE("S-M12x50","-",N5)</f>
        <v>S-M12x50-HDG-8.8</v>
      </c>
      <c r="D70" s="54">
        <v>24</v>
      </c>
      <c r="E70" s="53" t="s">
        <v>139</v>
      </c>
      <c r="F70" s="53" t="s">
        <v>82</v>
      </c>
    </row>
    <row r="71" spans="1:6" ht="17.45" customHeight="1" x14ac:dyDescent="0.25">
      <c r="B71" s="55" t="s">
        <v>155</v>
      </c>
      <c r="C71" s="54" t="str">
        <f>CONCATENATE("S-M12x50","-",N5)</f>
        <v>S-M12x50-HDG-8.8</v>
      </c>
      <c r="D71" s="54">
        <v>26</v>
      </c>
      <c r="E71" s="53" t="s">
        <v>139</v>
      </c>
      <c r="F71" s="53" t="s">
        <v>82</v>
      </c>
    </row>
    <row r="72" spans="1:6" ht="17.45" customHeight="1" x14ac:dyDescent="0.25">
      <c r="B72" s="55" t="s">
        <v>157</v>
      </c>
      <c r="C72" s="54" t="str">
        <f>CONCATENATE("S-M12x50","-",N5)</f>
        <v>S-M12x50-HDG-8.8</v>
      </c>
      <c r="D72" s="54">
        <v>30</v>
      </c>
      <c r="E72" s="53" t="s">
        <v>139</v>
      </c>
      <c r="F72" s="53" t="s">
        <v>82</v>
      </c>
    </row>
    <row r="73" spans="1:6" ht="17.45" customHeight="1" x14ac:dyDescent="0.25">
      <c r="B73" s="55" t="s">
        <v>159</v>
      </c>
      <c r="C73" s="54" t="str">
        <f>CONCATENATE("S-M12x50","-",N5)</f>
        <v>S-M12x50-HDG-8.8</v>
      </c>
      <c r="D73" s="54">
        <v>32</v>
      </c>
      <c r="E73" s="53" t="s">
        <v>139</v>
      </c>
      <c r="F73" s="53" t="s">
        <v>82</v>
      </c>
    </row>
    <row r="74" spans="1:6" ht="17.45" customHeight="1" x14ac:dyDescent="0.25">
      <c r="B74" s="55" t="s">
        <v>220</v>
      </c>
      <c r="C74" s="54" t="str">
        <f>CONCATENATE("S-M12x50","-",N5)</f>
        <v>S-M12x50-HDG-8.8</v>
      </c>
      <c r="D74" s="54">
        <v>38</v>
      </c>
      <c r="E74" s="53" t="s">
        <v>139</v>
      </c>
      <c r="F74" s="53" t="s">
        <v>82</v>
      </c>
    </row>
    <row r="75" spans="1:6" ht="17.45" customHeight="1" x14ac:dyDescent="0.25">
      <c r="B75" s="55" t="s">
        <v>221</v>
      </c>
      <c r="C75" s="54" t="str">
        <f>CONCATENATE("S-M12x50","-",N5)</f>
        <v>S-M12x50-HDG-8.8</v>
      </c>
      <c r="D75" s="54">
        <v>28</v>
      </c>
      <c r="E75" s="53" t="s">
        <v>139</v>
      </c>
      <c r="F75" s="53" t="s">
        <v>82</v>
      </c>
    </row>
    <row r="76" spans="1:6" ht="17.45" customHeight="1" x14ac:dyDescent="0.25">
      <c r="B76" s="55" t="s">
        <v>222</v>
      </c>
      <c r="C76" s="54" t="str">
        <f>CONCATENATE("S-M12x50","-",N5)</f>
        <v>S-M12x50-HDG-8.8</v>
      </c>
      <c r="D76" s="54">
        <v>32</v>
      </c>
      <c r="E76" s="53" t="s">
        <v>139</v>
      </c>
      <c r="F76" s="53" t="s">
        <v>82</v>
      </c>
    </row>
    <row r="77" spans="1:6" ht="17.45" customHeight="1" x14ac:dyDescent="0.25">
      <c r="A77" s="54" t="s">
        <v>223</v>
      </c>
      <c r="B77" s="55" t="s">
        <v>224</v>
      </c>
      <c r="E77" s="53" t="s">
        <v>82</v>
      </c>
      <c r="F77" s="53" t="s">
        <v>82</v>
      </c>
    </row>
    <row r="78" spans="1:6" ht="17.45" customHeight="1" x14ac:dyDescent="0.25">
      <c r="A78" s="53" t="s">
        <v>225</v>
      </c>
      <c r="B78" s="56" t="s">
        <v>226</v>
      </c>
      <c r="E78" s="53" t="s">
        <v>227</v>
      </c>
      <c r="F78" s="53" t="s">
        <v>82</v>
      </c>
    </row>
    <row r="79" spans="1:6" ht="17.45" customHeight="1" x14ac:dyDescent="0.25">
      <c r="A79" s="54" t="s">
        <v>228</v>
      </c>
      <c r="B79" s="55" t="s">
        <v>229</v>
      </c>
      <c r="C79" s="54"/>
      <c r="E79" s="53" t="s">
        <v>82</v>
      </c>
      <c r="F79" s="53" t="s">
        <v>82</v>
      </c>
    </row>
    <row r="80" spans="1:6" ht="17.45" customHeight="1" x14ac:dyDescent="0.25">
      <c r="A80" s="54" t="s">
        <v>230</v>
      </c>
      <c r="B80" s="55" t="s">
        <v>231</v>
      </c>
      <c r="C80" s="54"/>
      <c r="E80" s="53" t="s">
        <v>232</v>
      </c>
      <c r="F80" s="53" t="s">
        <v>82</v>
      </c>
    </row>
    <row r="81" spans="1:6" ht="17.45" customHeight="1" x14ac:dyDescent="0.25">
      <c r="A81" s="54" t="s">
        <v>233</v>
      </c>
      <c r="B81" s="55" t="s">
        <v>234</v>
      </c>
      <c r="C81" s="54"/>
      <c r="E81" s="53" t="s">
        <v>82</v>
      </c>
      <c r="F81" s="53" t="s">
        <v>82</v>
      </c>
    </row>
    <row r="82" spans="1:6" ht="17.45" customHeight="1" x14ac:dyDescent="0.25">
      <c r="A82" s="53" t="s">
        <v>235</v>
      </c>
      <c r="B82" s="56" t="s">
        <v>236</v>
      </c>
      <c r="C82" s="54" t="str">
        <f>CONCATENATE("S-M10x50","-",N5)</f>
        <v>S-M10x50-HDG-8.8</v>
      </c>
      <c r="D82" s="53">
        <v>6</v>
      </c>
      <c r="E82" s="53" t="s">
        <v>139</v>
      </c>
      <c r="F82" s="53" t="s">
        <v>82</v>
      </c>
    </row>
    <row r="83" spans="1:6" ht="17.45" customHeight="1" x14ac:dyDescent="0.25">
      <c r="A83" s="53" t="s">
        <v>237</v>
      </c>
      <c r="B83" s="56" t="s">
        <v>238</v>
      </c>
      <c r="D83" s="53">
        <v>1</v>
      </c>
      <c r="E83" s="53" t="s">
        <v>82</v>
      </c>
      <c r="F83" s="53" t="s">
        <v>82</v>
      </c>
    </row>
    <row r="84" spans="1:6" ht="17.45" customHeight="1" x14ac:dyDescent="0.25">
      <c r="A84" s="53" t="s">
        <v>239</v>
      </c>
      <c r="B84" s="56" t="s">
        <v>240</v>
      </c>
      <c r="C84" s="54" t="str">
        <f>CONCATENATE("M20x40","-",N5)</f>
        <v>M20x40-HDG-8.8</v>
      </c>
      <c r="D84" s="54">
        <v>8</v>
      </c>
      <c r="E84" s="53" t="s">
        <v>241</v>
      </c>
      <c r="F84" s="53" t="s">
        <v>82</v>
      </c>
    </row>
    <row r="85" spans="1:6" ht="17.45" customHeight="1" x14ac:dyDescent="0.25">
      <c r="A85" s="53" t="s">
        <v>242</v>
      </c>
      <c r="B85" s="56" t="s">
        <v>243</v>
      </c>
      <c r="C85" s="54" t="str">
        <f>CONCATENATE("M10x40","-",N5)</f>
        <v>M10x40-HDG-8.8</v>
      </c>
      <c r="D85" s="54">
        <v>16</v>
      </c>
      <c r="F85" s="53" t="s">
        <v>82</v>
      </c>
    </row>
    <row r="86" spans="1:6" ht="17.45" customHeight="1" x14ac:dyDescent="0.25">
      <c r="C86" s="54" t="str">
        <f>CONCATENATE("M16x50","-",N6)</f>
        <v>M16x50-HDG-8.8</v>
      </c>
      <c r="D86" s="54">
        <v>4</v>
      </c>
      <c r="F86" s="53" t="s">
        <v>82</v>
      </c>
    </row>
    <row r="87" spans="1:6" ht="17.45" customHeight="1" x14ac:dyDescent="0.25">
      <c r="F87" s="53" t="s">
        <v>82</v>
      </c>
    </row>
    <row r="88" spans="1:6" ht="17.45" customHeight="1" x14ac:dyDescent="0.25">
      <c r="A88" s="53" t="s">
        <v>244</v>
      </c>
      <c r="B88" s="56" t="s">
        <v>243</v>
      </c>
      <c r="F88" s="53" t="s">
        <v>82</v>
      </c>
    </row>
    <row r="89" spans="1:6" ht="17.45" customHeight="1" x14ac:dyDescent="0.25">
      <c r="C89" s="54" t="str">
        <f>CONCATENATE("M10x40","-",N5)</f>
        <v>M10x40-HDG-8.8</v>
      </c>
      <c r="D89" s="54">
        <v>16</v>
      </c>
      <c r="F89" s="53" t="s">
        <v>82</v>
      </c>
    </row>
    <row r="90" spans="1:6" ht="17.45" customHeight="1" x14ac:dyDescent="0.25">
      <c r="C90" s="54" t="str">
        <f>CONCATENATE("M16x50","-",N6)</f>
        <v>M16x50-HDG-8.8</v>
      </c>
      <c r="D90" s="54">
        <v>4</v>
      </c>
      <c r="F90" s="53" t="s">
        <v>82</v>
      </c>
    </row>
    <row r="91" spans="1:6" ht="17.45" customHeight="1" x14ac:dyDescent="0.25">
      <c r="A91" s="54" t="s">
        <v>245</v>
      </c>
      <c r="F91" s="53" t="s">
        <v>82</v>
      </c>
    </row>
    <row r="92" spans="1:6" ht="17.45" customHeight="1" x14ac:dyDescent="0.25">
      <c r="A92" s="54" t="s">
        <v>246</v>
      </c>
      <c r="F92" s="53" t="s">
        <v>82</v>
      </c>
    </row>
    <row r="93" spans="1:6" ht="17.45" customHeight="1" x14ac:dyDescent="0.25">
      <c r="A93" s="53" t="s">
        <v>247</v>
      </c>
      <c r="B93" s="56" t="s">
        <v>248</v>
      </c>
      <c r="C93" s="53" t="s">
        <v>249</v>
      </c>
      <c r="F93" s="53" t="s">
        <v>82</v>
      </c>
    </row>
    <row r="94" spans="1:6" ht="17.45" customHeight="1" x14ac:dyDescent="0.25">
      <c r="C94" s="54" t="str">
        <f>CONCATENATE("M12x50","-",N5)</f>
        <v>M12x50-HDG-8.8</v>
      </c>
      <c r="D94" s="54">
        <v>6</v>
      </c>
      <c r="F94" s="53" t="s">
        <v>82</v>
      </c>
    </row>
    <row r="95" spans="1:6" ht="17.45" customHeight="1" x14ac:dyDescent="0.25">
      <c r="C95" s="54" t="str">
        <f>CONCATENATE("M12x60","-",N5)</f>
        <v>M12x60-HDG-8.8</v>
      </c>
      <c r="D95" s="54">
        <v>12</v>
      </c>
      <c r="F95" s="53" t="s">
        <v>82</v>
      </c>
    </row>
    <row r="96" spans="1:6" ht="17.45" customHeight="1" x14ac:dyDescent="0.25">
      <c r="A96" s="54" t="s">
        <v>250</v>
      </c>
      <c r="B96" s="55" t="s">
        <v>251</v>
      </c>
      <c r="C96" s="54" t="s">
        <v>213</v>
      </c>
      <c r="D96" s="54">
        <v>4</v>
      </c>
      <c r="E96" s="54" t="s">
        <v>252</v>
      </c>
      <c r="F96" s="53" t="s">
        <v>82</v>
      </c>
    </row>
    <row r="97" spans="1:6" ht="17.45" customHeight="1" x14ac:dyDescent="0.25">
      <c r="A97" s="53" t="s">
        <v>253</v>
      </c>
      <c r="B97" s="56" t="s">
        <v>254</v>
      </c>
      <c r="F97" s="53" t="s">
        <v>82</v>
      </c>
    </row>
    <row r="98" spans="1:6" ht="17.45" customHeight="1" x14ac:dyDescent="0.25">
      <c r="B98" s="55" t="s">
        <v>138</v>
      </c>
      <c r="C98" s="54" t="str">
        <f>CONCATENATE("M12x40","-",N5)</f>
        <v>M12x40-HDG-8.8</v>
      </c>
      <c r="D98" s="54">
        <v>4</v>
      </c>
      <c r="F98" s="53" t="s">
        <v>82</v>
      </c>
    </row>
    <row r="99" spans="1:6" ht="17.45" customHeight="1" x14ac:dyDescent="0.25">
      <c r="B99" s="55" t="s">
        <v>141</v>
      </c>
      <c r="C99" s="54" t="str">
        <f>CONCATENATE("M12x40","-",N5)</f>
        <v>M12x40-HDG-8.8</v>
      </c>
      <c r="D99" s="54">
        <v>4</v>
      </c>
      <c r="F99" s="53" t="s">
        <v>82</v>
      </c>
    </row>
    <row r="100" spans="1:6" ht="17.45" customHeight="1" x14ac:dyDescent="0.25">
      <c r="B100" s="55" t="s">
        <v>143</v>
      </c>
      <c r="C100" s="54" t="str">
        <f>CONCATENATE("M16x60","-",N6)</f>
        <v>M16x60-HDG-8.8</v>
      </c>
      <c r="D100" s="54">
        <v>4</v>
      </c>
      <c r="F100" s="53" t="s">
        <v>82</v>
      </c>
    </row>
    <row r="101" spans="1:6" ht="17.45" customHeight="1" x14ac:dyDescent="0.25">
      <c r="A101" s="54" t="s">
        <v>255</v>
      </c>
      <c r="B101" s="55" t="s">
        <v>256</v>
      </c>
      <c r="F101" s="53" t="s">
        <v>82</v>
      </c>
    </row>
    <row r="102" spans="1:6" ht="17.45" customHeight="1" x14ac:dyDescent="0.25">
      <c r="A102" s="54" t="s">
        <v>257</v>
      </c>
      <c r="B102" s="56" t="s">
        <v>258</v>
      </c>
      <c r="E102" s="53" t="s">
        <v>259</v>
      </c>
      <c r="F102" s="53" t="s">
        <v>82</v>
      </c>
    </row>
    <row r="103" spans="1:6" ht="17.45" customHeight="1" x14ac:dyDescent="0.25">
      <c r="A103" s="53" t="s">
        <v>260</v>
      </c>
      <c r="B103" s="56" t="s">
        <v>261</v>
      </c>
      <c r="C103" s="53" t="s">
        <v>262</v>
      </c>
      <c r="D103" s="53">
        <v>24</v>
      </c>
      <c r="F103" s="53" t="s">
        <v>82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82</v>
      </c>
    </row>
    <row r="105" spans="1:6" ht="17.45" customHeight="1" x14ac:dyDescent="0.25">
      <c r="A105" s="53" t="s">
        <v>263</v>
      </c>
      <c r="B105" s="56" t="s">
        <v>261</v>
      </c>
      <c r="C105" s="53" t="s">
        <v>262</v>
      </c>
      <c r="D105" s="53">
        <v>24</v>
      </c>
      <c r="F105" s="53" t="s">
        <v>82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82</v>
      </c>
    </row>
    <row r="107" spans="1:6" ht="17.45" customHeight="1" x14ac:dyDescent="0.25">
      <c r="A107" s="53" t="s">
        <v>264</v>
      </c>
      <c r="B107" s="56" t="s">
        <v>261</v>
      </c>
      <c r="C107" s="53" t="s">
        <v>262</v>
      </c>
      <c r="D107" s="53">
        <v>14</v>
      </c>
      <c r="F107" s="53" t="s">
        <v>82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82</v>
      </c>
    </row>
    <row r="109" spans="1:6" ht="17.45" customHeight="1" x14ac:dyDescent="0.25">
      <c r="A109" s="53" t="s">
        <v>265</v>
      </c>
      <c r="B109" s="56" t="s">
        <v>266</v>
      </c>
      <c r="C109" s="53" t="s">
        <v>134</v>
      </c>
      <c r="D109" s="53">
        <v>6</v>
      </c>
      <c r="F109" s="53" t="s">
        <v>82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82</v>
      </c>
    </row>
    <row r="111" spans="1:6" ht="17.45" customHeight="1" x14ac:dyDescent="0.25">
      <c r="A111" s="54" t="s">
        <v>267</v>
      </c>
      <c r="F111" s="53" t="s">
        <v>82</v>
      </c>
    </row>
    <row r="112" spans="1:6" ht="17.45" customHeight="1" x14ac:dyDescent="0.25">
      <c r="A112" s="54" t="s">
        <v>268</v>
      </c>
      <c r="B112" s="55" t="s">
        <v>269</v>
      </c>
      <c r="F112" s="53" t="s">
        <v>82</v>
      </c>
    </row>
    <row r="113" spans="1:6" ht="17.45" customHeight="1" x14ac:dyDescent="0.25">
      <c r="A113" s="53" t="s">
        <v>270</v>
      </c>
      <c r="B113" s="56" t="s">
        <v>271</v>
      </c>
      <c r="C113" s="53" t="s">
        <v>272</v>
      </c>
      <c r="D113" s="53">
        <v>4</v>
      </c>
      <c r="F113" s="53" t="s">
        <v>82</v>
      </c>
    </row>
    <row r="114" spans="1:6" ht="17.45" customHeight="1" x14ac:dyDescent="0.25">
      <c r="C114" s="54" t="str">
        <f>CONCATENATE("S-M16x130","-",N6)</f>
        <v>S-M16x130-HDG-8.8</v>
      </c>
      <c r="D114" s="54">
        <v>4</v>
      </c>
      <c r="F114" s="53" t="s">
        <v>82</v>
      </c>
    </row>
    <row r="115" spans="1:6" ht="17.45" customHeight="1" x14ac:dyDescent="0.25">
      <c r="C115" s="54" t="str">
        <f>CONCATENATE("S-M16x140","-",N6)</f>
        <v>S-M16x140-HDG-8.8</v>
      </c>
      <c r="D115" s="54">
        <v>4</v>
      </c>
      <c r="F115" s="53" t="s">
        <v>82</v>
      </c>
    </row>
    <row r="116" spans="1:6" ht="17.45" customHeight="1" x14ac:dyDescent="0.25">
      <c r="C116" s="54" t="str">
        <f>CONCATENATE("S-M20x150","-",N6)</f>
        <v>S-M20x150-HDG-8.8</v>
      </c>
      <c r="D116" s="54">
        <v>8</v>
      </c>
      <c r="F116" s="53" t="s">
        <v>82</v>
      </c>
    </row>
    <row r="117" spans="1:6" ht="17.45" customHeight="1" x14ac:dyDescent="0.25">
      <c r="A117" s="54" t="s">
        <v>273</v>
      </c>
      <c r="B117" s="55" t="s">
        <v>271</v>
      </c>
      <c r="C117" s="54" t="s">
        <v>272</v>
      </c>
      <c r="D117" s="54">
        <v>4</v>
      </c>
      <c r="E117" s="54" t="s">
        <v>274</v>
      </c>
      <c r="F117" s="53" t="s">
        <v>82</v>
      </c>
    </row>
    <row r="118" spans="1:6" ht="17.45" customHeight="1" x14ac:dyDescent="0.25">
      <c r="A118" s="53" t="s">
        <v>275</v>
      </c>
      <c r="B118" s="56" t="s">
        <v>276</v>
      </c>
      <c r="C118" s="53" t="s">
        <v>277</v>
      </c>
      <c r="D118" s="53">
        <v>4</v>
      </c>
      <c r="F118" s="53" t="s">
        <v>82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82</v>
      </c>
    </row>
    <row r="120" spans="1:6" ht="17.45" customHeight="1" x14ac:dyDescent="0.25">
      <c r="A120" s="53" t="s">
        <v>278</v>
      </c>
      <c r="B120" s="56" t="s">
        <v>279</v>
      </c>
      <c r="F120" s="53" t="s">
        <v>82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82</v>
      </c>
    </row>
    <row r="122" spans="1:6" ht="17.45" customHeight="1" x14ac:dyDescent="0.25">
      <c r="A122" s="54" t="s">
        <v>280</v>
      </c>
      <c r="B122" s="55" t="s">
        <v>281</v>
      </c>
      <c r="F122" s="53" t="s">
        <v>82</v>
      </c>
    </row>
    <row r="123" spans="1:6" ht="17.45" customHeight="1" x14ac:dyDescent="0.25">
      <c r="A123" s="53" t="s">
        <v>282</v>
      </c>
      <c r="B123" s="56" t="s">
        <v>283</v>
      </c>
      <c r="C123" s="53" t="s">
        <v>284</v>
      </c>
      <c r="D123" s="53">
        <v>8</v>
      </c>
      <c r="F123" s="53" t="s">
        <v>82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82</v>
      </c>
    </row>
    <row r="125" spans="1:6" ht="17.45" customHeight="1" x14ac:dyDescent="0.25">
      <c r="A125" s="54" t="s">
        <v>285</v>
      </c>
      <c r="B125" s="55" t="s">
        <v>286</v>
      </c>
      <c r="F125" s="53" t="s">
        <v>82</v>
      </c>
    </row>
    <row r="126" spans="1:6" ht="17.45" customHeight="1" x14ac:dyDescent="0.25">
      <c r="B126" s="55" t="s">
        <v>287</v>
      </c>
      <c r="F126" s="53" t="s">
        <v>82</v>
      </c>
    </row>
    <row r="127" spans="1:6" ht="17.45" customHeight="1" x14ac:dyDescent="0.25">
      <c r="A127" s="54" t="s">
        <v>288</v>
      </c>
      <c r="F127" s="53" t="s">
        <v>82</v>
      </c>
    </row>
    <row r="128" spans="1:6" ht="17.45" customHeight="1" x14ac:dyDescent="0.25">
      <c r="A128" s="54" t="s">
        <v>289</v>
      </c>
      <c r="B128" s="55" t="s">
        <v>290</v>
      </c>
      <c r="C128" s="54" t="s">
        <v>291</v>
      </c>
      <c r="D128" s="54">
        <v>6</v>
      </c>
      <c r="F128" s="53" t="s">
        <v>82</v>
      </c>
    </row>
    <row r="129" spans="1:18" ht="17.45" customHeight="1" x14ac:dyDescent="0.25">
      <c r="A129" s="54"/>
      <c r="B129" s="55" t="s">
        <v>287</v>
      </c>
      <c r="C129" s="54"/>
      <c r="D129" s="54"/>
      <c r="F129" s="53" t="s">
        <v>82</v>
      </c>
    </row>
    <row r="130" spans="1:18" ht="17.45" customHeight="1" x14ac:dyDescent="0.25">
      <c r="A130" s="53" t="s">
        <v>292</v>
      </c>
      <c r="B130" s="56" t="s">
        <v>293</v>
      </c>
      <c r="C130" s="53" t="s">
        <v>294</v>
      </c>
      <c r="D130" s="53">
        <v>6</v>
      </c>
      <c r="F130" s="53" t="s">
        <v>82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82</v>
      </c>
    </row>
    <row r="132" spans="1:18" ht="17.45" customHeight="1" x14ac:dyDescent="0.25">
      <c r="A132" s="54" t="s">
        <v>295</v>
      </c>
      <c r="B132" s="55" t="s">
        <v>296</v>
      </c>
      <c r="F132" s="53" t="s">
        <v>82</v>
      </c>
    </row>
    <row r="133" spans="1:18" ht="17.45" customHeight="1" x14ac:dyDescent="0.25">
      <c r="F133" s="53" t="s">
        <v>82</v>
      </c>
    </row>
    <row r="134" spans="1:18" ht="17.45" customHeight="1" x14ac:dyDescent="0.25">
      <c r="A134" s="54" t="s">
        <v>297</v>
      </c>
      <c r="B134" s="55" t="s">
        <v>298</v>
      </c>
      <c r="F134" s="53" t="s">
        <v>82</v>
      </c>
    </row>
    <row r="135" spans="1:18" ht="17.45" customHeight="1" x14ac:dyDescent="0.25">
      <c r="A135" s="54" t="s">
        <v>299</v>
      </c>
      <c r="F135" s="53" t="s">
        <v>82</v>
      </c>
    </row>
    <row r="136" spans="1:18" ht="17.45" customHeight="1" x14ac:dyDescent="0.25">
      <c r="A136" s="53" t="s">
        <v>300</v>
      </c>
      <c r="B136" s="56" t="s">
        <v>301</v>
      </c>
      <c r="C136" s="53" t="s">
        <v>127</v>
      </c>
      <c r="D136" s="53">
        <v>4</v>
      </c>
      <c r="F136" s="53" t="s">
        <v>82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82</v>
      </c>
    </row>
    <row r="138" spans="1:18" ht="17.45" customHeight="1" x14ac:dyDescent="0.25">
      <c r="A138" s="53" t="s">
        <v>302</v>
      </c>
      <c r="B138" s="56" t="s">
        <v>303</v>
      </c>
      <c r="C138" s="53" t="s">
        <v>213</v>
      </c>
      <c r="D138" s="53">
        <v>4</v>
      </c>
      <c r="F138" s="53" t="s">
        <v>82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82</v>
      </c>
    </row>
    <row r="140" spans="1:18" s="2" customFormat="1" ht="17.45" customHeight="1" x14ac:dyDescent="0.25">
      <c r="A140" s="54" t="s">
        <v>304</v>
      </c>
      <c r="B140" s="55" t="s">
        <v>305</v>
      </c>
      <c r="C140" s="54"/>
      <c r="D140" s="54"/>
      <c r="E140" s="54"/>
      <c r="F140" s="53" t="s">
        <v>82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306</v>
      </c>
      <c r="B141" s="56" t="s">
        <v>307</v>
      </c>
      <c r="C141" s="53" t="s">
        <v>134</v>
      </c>
      <c r="D141" s="53">
        <v>16</v>
      </c>
      <c r="F141" s="53" t="s">
        <v>82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82</v>
      </c>
    </row>
    <row r="143" spans="1:18" ht="17.45" customHeight="1" x14ac:dyDescent="0.25">
      <c r="A143" s="54" t="s">
        <v>308</v>
      </c>
      <c r="F143" s="53" t="s">
        <v>82</v>
      </c>
    </row>
    <row r="144" spans="1:18" ht="17.45" customHeight="1" x14ac:dyDescent="0.25">
      <c r="A144" s="53" t="s">
        <v>309</v>
      </c>
      <c r="B144" s="56" t="s">
        <v>310</v>
      </c>
      <c r="C144" s="53" t="s">
        <v>311</v>
      </c>
      <c r="D144" s="53">
        <v>8</v>
      </c>
      <c r="F144" s="53" t="s">
        <v>82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82</v>
      </c>
    </row>
    <row r="146" spans="1:18" ht="17.45" customHeight="1" x14ac:dyDescent="0.25">
      <c r="A146" s="53" t="s">
        <v>312</v>
      </c>
      <c r="B146" s="56" t="s">
        <v>313</v>
      </c>
      <c r="C146" s="53" t="s">
        <v>314</v>
      </c>
      <c r="D146" s="53">
        <v>6</v>
      </c>
      <c r="F146" s="53" t="s">
        <v>82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82</v>
      </c>
    </row>
    <row r="148" spans="1:18" ht="17.45" customHeight="1" x14ac:dyDescent="0.25">
      <c r="A148" s="53" t="s">
        <v>315</v>
      </c>
      <c r="B148" s="56" t="s">
        <v>316</v>
      </c>
      <c r="C148" s="53" t="s">
        <v>277</v>
      </c>
      <c r="D148" s="53">
        <v>1</v>
      </c>
      <c r="F148" s="53" t="s">
        <v>82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82</v>
      </c>
    </row>
    <row r="150" spans="1:18" ht="17.45" customHeight="1" x14ac:dyDescent="0.25">
      <c r="A150" s="53" t="s">
        <v>317</v>
      </c>
      <c r="B150" s="56" t="s">
        <v>318</v>
      </c>
      <c r="C150" s="53" t="s">
        <v>277</v>
      </c>
      <c r="D150" s="53">
        <v>16</v>
      </c>
      <c r="F150" s="53" t="s">
        <v>82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82</v>
      </c>
    </row>
    <row r="152" spans="1:18" s="2" customFormat="1" ht="17.45" customHeight="1" x14ac:dyDescent="0.25">
      <c r="A152" s="54" t="s">
        <v>319</v>
      </c>
      <c r="B152" s="55" t="s">
        <v>320</v>
      </c>
      <c r="C152" s="54"/>
      <c r="D152" s="54"/>
      <c r="E152" s="54"/>
      <c r="F152" s="53" t="s">
        <v>82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321</v>
      </c>
      <c r="B153" s="55" t="s">
        <v>320</v>
      </c>
      <c r="C153" s="54"/>
      <c r="D153" s="54"/>
      <c r="E153" s="54"/>
      <c r="F153" s="53" t="s">
        <v>82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322</v>
      </c>
      <c r="B154" s="55" t="s">
        <v>320</v>
      </c>
      <c r="C154" s="54"/>
      <c r="D154" s="54"/>
      <c r="E154" s="54"/>
      <c r="F154" s="53" t="s">
        <v>82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323</v>
      </c>
      <c r="B155" s="55" t="s">
        <v>320</v>
      </c>
      <c r="C155" s="54"/>
      <c r="D155" s="54"/>
      <c r="E155" s="54"/>
      <c r="F155" s="53" t="s">
        <v>82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324</v>
      </c>
      <c r="B156" s="55" t="s">
        <v>320</v>
      </c>
      <c r="C156" s="54"/>
      <c r="D156" s="54"/>
      <c r="E156" s="54"/>
      <c r="F156" s="53" t="s">
        <v>82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325</v>
      </c>
      <c r="B157" s="56" t="s">
        <v>326</v>
      </c>
      <c r="C157" s="53" t="s">
        <v>291</v>
      </c>
      <c r="D157" s="53">
        <v>4</v>
      </c>
      <c r="F157" s="53" t="s">
        <v>82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82</v>
      </c>
    </row>
    <row r="159" spans="1:18" ht="17.45" customHeight="1" x14ac:dyDescent="0.25">
      <c r="A159" s="53" t="s">
        <v>327</v>
      </c>
      <c r="B159" s="56" t="s">
        <v>326</v>
      </c>
      <c r="C159" s="53" t="s">
        <v>291</v>
      </c>
      <c r="D159" s="53">
        <v>6</v>
      </c>
      <c r="F159" s="53" t="s">
        <v>82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82</v>
      </c>
    </row>
    <row r="161" spans="1:18" s="2" customFormat="1" ht="17.45" customHeight="1" x14ac:dyDescent="0.25">
      <c r="A161" s="54" t="s">
        <v>328</v>
      </c>
      <c r="B161" s="55" t="s">
        <v>329</v>
      </c>
      <c r="C161" s="54"/>
      <c r="D161" s="54"/>
      <c r="E161" s="54"/>
      <c r="F161" s="53" t="s">
        <v>82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330</v>
      </c>
      <c r="F162" s="53" t="s">
        <v>82</v>
      </c>
    </row>
    <row r="163" spans="1:18" s="2" customFormat="1" ht="17.45" customHeight="1" x14ac:dyDescent="0.25">
      <c r="A163" s="54" t="s">
        <v>331</v>
      </c>
      <c r="B163" s="55" t="s">
        <v>332</v>
      </c>
      <c r="C163" s="54"/>
      <c r="D163" s="54"/>
      <c r="E163" s="54"/>
      <c r="F163" s="53" t="s">
        <v>82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287</v>
      </c>
      <c r="F164" s="53" t="s">
        <v>82</v>
      </c>
    </row>
    <row r="165" spans="1:18" s="2" customFormat="1" ht="17.45" customHeight="1" x14ac:dyDescent="0.25">
      <c r="A165" s="54" t="s">
        <v>333</v>
      </c>
      <c r="B165" s="55" t="s">
        <v>334</v>
      </c>
      <c r="C165" s="54"/>
      <c r="D165" s="54"/>
      <c r="E165" s="54"/>
      <c r="F165" s="53" t="s">
        <v>82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335</v>
      </c>
      <c r="B166" s="55"/>
      <c r="C166" s="54"/>
      <c r="D166" s="54"/>
      <c r="E166" s="54"/>
      <c r="F166" s="53" t="s">
        <v>82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336</v>
      </c>
      <c r="B167" s="56" t="s">
        <v>337</v>
      </c>
      <c r="C167" s="53" t="s">
        <v>338</v>
      </c>
      <c r="D167" s="53">
        <v>4</v>
      </c>
      <c r="F167" s="53" t="s">
        <v>82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82</v>
      </c>
    </row>
    <row r="169" spans="1:18" ht="17.45" customHeight="1" x14ac:dyDescent="0.25">
      <c r="A169" s="53" t="s">
        <v>339</v>
      </c>
      <c r="B169" s="56" t="s">
        <v>340</v>
      </c>
      <c r="C169" s="53" t="s">
        <v>291</v>
      </c>
      <c r="D169" s="53">
        <v>16</v>
      </c>
      <c r="F169" s="53" t="s">
        <v>82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82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82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82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82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82</v>
      </c>
    </row>
    <row r="175" spans="1:18" ht="17.45" customHeight="1" x14ac:dyDescent="0.25">
      <c r="A175" s="54" t="s">
        <v>341</v>
      </c>
      <c r="B175" s="55" t="s">
        <v>342</v>
      </c>
      <c r="F175" s="53" t="s">
        <v>82</v>
      </c>
    </row>
    <row r="176" spans="1:18" ht="17.45" customHeight="1" x14ac:dyDescent="0.25">
      <c r="A176" s="53" t="s">
        <v>343</v>
      </c>
      <c r="B176" s="56" t="s">
        <v>344</v>
      </c>
      <c r="C176" s="53" t="s">
        <v>291</v>
      </c>
      <c r="D176" s="53">
        <v>16</v>
      </c>
      <c r="F176" s="53" t="s">
        <v>82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82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82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82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82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82</v>
      </c>
    </row>
    <row r="182" spans="1:6" ht="17.45" customHeight="1" x14ac:dyDescent="0.25">
      <c r="A182" s="54" t="s">
        <v>345</v>
      </c>
      <c r="B182" s="55" t="s">
        <v>346</v>
      </c>
      <c r="C182" s="53" t="s">
        <v>291</v>
      </c>
      <c r="D182" s="53">
        <v>16</v>
      </c>
      <c r="F182" s="53" t="s">
        <v>82</v>
      </c>
    </row>
    <row r="183" spans="1:6" ht="17.45" customHeight="1" x14ac:dyDescent="0.25">
      <c r="A183" s="53" t="s">
        <v>347</v>
      </c>
      <c r="B183" s="56" t="s">
        <v>348</v>
      </c>
      <c r="C183" s="53" t="s">
        <v>291</v>
      </c>
      <c r="D183" s="53">
        <v>16</v>
      </c>
      <c r="F183" s="53" t="s">
        <v>82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82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82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82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82</v>
      </c>
    </row>
    <row r="188" spans="1:6" ht="17.45" customHeight="1" x14ac:dyDescent="0.25">
      <c r="A188" s="53">
        <v>96.5</v>
      </c>
      <c r="B188" s="55" t="s">
        <v>349</v>
      </c>
      <c r="C188" s="54">
        <v>0</v>
      </c>
      <c r="F188" s="53" t="s">
        <v>82</v>
      </c>
    </row>
    <row r="189" spans="1:6" ht="17.45" customHeight="1" x14ac:dyDescent="0.25">
      <c r="A189" s="53" t="s">
        <v>350</v>
      </c>
      <c r="B189" s="56" t="s">
        <v>351</v>
      </c>
      <c r="C189" s="53" t="s">
        <v>352</v>
      </c>
      <c r="D189" s="53">
        <v>8</v>
      </c>
      <c r="F189" s="53" t="s">
        <v>82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82</v>
      </c>
    </row>
    <row r="191" spans="1:6" ht="17.45" customHeight="1" x14ac:dyDescent="0.25">
      <c r="A191" s="53" t="s">
        <v>353</v>
      </c>
      <c r="B191" s="56" t="s">
        <v>351</v>
      </c>
      <c r="C191" s="53" t="s">
        <v>354</v>
      </c>
      <c r="D191" s="53">
        <v>8</v>
      </c>
      <c r="E191" s="53" t="s">
        <v>96</v>
      </c>
      <c r="F191" s="53" t="s">
        <v>82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82</v>
      </c>
    </row>
    <row r="193" spans="1:6" ht="17.45" customHeight="1" x14ac:dyDescent="0.25">
      <c r="A193" s="53" t="s">
        <v>355</v>
      </c>
      <c r="B193" s="56" t="s">
        <v>351</v>
      </c>
      <c r="C193" s="53" t="s">
        <v>352</v>
      </c>
      <c r="D193" s="53">
        <v>8</v>
      </c>
      <c r="F193" s="53" t="s">
        <v>82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82</v>
      </c>
    </row>
    <row r="195" spans="1:6" ht="17.45" customHeight="1" x14ac:dyDescent="0.25">
      <c r="A195" s="53" t="s">
        <v>356</v>
      </c>
      <c r="B195" s="56" t="s">
        <v>351</v>
      </c>
      <c r="C195" s="53" t="s">
        <v>354</v>
      </c>
      <c r="D195" s="53">
        <v>8</v>
      </c>
      <c r="E195" s="53" t="s">
        <v>96</v>
      </c>
      <c r="F195" s="53" t="s">
        <v>82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82</v>
      </c>
    </row>
    <row r="197" spans="1:6" ht="17.45" customHeight="1" x14ac:dyDescent="0.25">
      <c r="A197" s="53" t="s">
        <v>357</v>
      </c>
      <c r="B197" s="56" t="s">
        <v>358</v>
      </c>
      <c r="C197" s="53" t="s">
        <v>213</v>
      </c>
      <c r="D197" s="53">
        <v>4</v>
      </c>
      <c r="F197" s="53" t="s">
        <v>82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82</v>
      </c>
    </row>
    <row r="199" spans="1:6" ht="17.45" customHeight="1" x14ac:dyDescent="0.25">
      <c r="A199" s="53" t="s">
        <v>359</v>
      </c>
      <c r="F199" s="53" t="s">
        <v>82</v>
      </c>
    </row>
    <row r="200" spans="1:6" ht="17.45" customHeight="1" x14ac:dyDescent="0.25">
      <c r="A200" s="53" t="s">
        <v>360</v>
      </c>
      <c r="F200" s="53" t="s">
        <v>82</v>
      </c>
    </row>
    <row r="201" spans="1:6" ht="17.45" customHeight="1" x14ac:dyDescent="0.25">
      <c r="A201" s="53" t="s">
        <v>361</v>
      </c>
      <c r="F201" s="53" t="s">
        <v>82</v>
      </c>
    </row>
    <row r="202" spans="1:6" ht="17.45" customHeight="1" x14ac:dyDescent="0.25">
      <c r="A202" s="53" t="s">
        <v>362</v>
      </c>
      <c r="F202" s="53" t="s">
        <v>82</v>
      </c>
    </row>
    <row r="203" spans="1:6" ht="17.45" customHeight="1" x14ac:dyDescent="0.25">
      <c r="A203" s="53" t="s">
        <v>363</v>
      </c>
      <c r="B203" s="56" t="s">
        <v>364</v>
      </c>
      <c r="F203" s="53" t="s">
        <v>82</v>
      </c>
    </row>
    <row r="204" spans="1:6" ht="17.45" customHeight="1" x14ac:dyDescent="0.25">
      <c r="A204" s="53" t="s">
        <v>365</v>
      </c>
      <c r="B204" s="56" t="s">
        <v>366</v>
      </c>
      <c r="F204" s="53" t="s">
        <v>82</v>
      </c>
    </row>
    <row r="205" spans="1:6" ht="17.45" customHeight="1" x14ac:dyDescent="0.25">
      <c r="A205" s="53" t="s">
        <v>367</v>
      </c>
      <c r="B205" s="56" t="s">
        <v>279</v>
      </c>
      <c r="F205" s="53" t="s">
        <v>82</v>
      </c>
    </row>
    <row r="206" spans="1:6" ht="17.45" customHeight="1" x14ac:dyDescent="0.25">
      <c r="A206" s="53" t="s">
        <v>368</v>
      </c>
      <c r="F206" s="53" t="s">
        <v>82</v>
      </c>
    </row>
    <row r="207" spans="1:6" ht="17.45" customHeight="1" x14ac:dyDescent="0.25">
      <c r="A207" s="53" t="s">
        <v>369</v>
      </c>
      <c r="B207" s="56" t="s">
        <v>370</v>
      </c>
      <c r="C207" s="53" t="s">
        <v>213</v>
      </c>
      <c r="D207" s="53">
        <v>6</v>
      </c>
      <c r="F207" s="53" t="s">
        <v>82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82</v>
      </c>
    </row>
    <row r="209" spans="1:11" ht="17.45" customHeight="1" x14ac:dyDescent="0.25">
      <c r="F209" s="53" t="s">
        <v>82</v>
      </c>
    </row>
    <row r="210" spans="1:11" ht="17.45" customHeight="1" x14ac:dyDescent="0.25">
      <c r="A210" s="53" t="s">
        <v>371</v>
      </c>
      <c r="B210" s="56" t="s">
        <v>372</v>
      </c>
      <c r="E210" s="53" t="s">
        <v>179</v>
      </c>
      <c r="F210" s="53" t="s">
        <v>82</v>
      </c>
    </row>
    <row r="211" spans="1:11" ht="17.45" customHeight="1" x14ac:dyDescent="0.25">
      <c r="A211" s="53" t="s">
        <v>373</v>
      </c>
      <c r="B211" s="56" t="s">
        <v>332</v>
      </c>
      <c r="F211" s="53" t="s">
        <v>82</v>
      </c>
    </row>
    <row r="212" spans="1:11" ht="17.45" customHeight="1" x14ac:dyDescent="0.25">
      <c r="C212" s="53" t="s">
        <v>213</v>
      </c>
      <c r="D212" s="53">
        <v>15</v>
      </c>
      <c r="F212" s="53" t="s">
        <v>82</v>
      </c>
    </row>
    <row r="213" spans="1:11" ht="17.45" customHeight="1" x14ac:dyDescent="0.25">
      <c r="C213" s="53" t="s">
        <v>374</v>
      </c>
      <c r="F213" s="53" t="s">
        <v>82</v>
      </c>
    </row>
    <row r="214" spans="1:11" ht="17.45" customHeight="1" x14ac:dyDescent="0.25">
      <c r="F214" s="53" t="s">
        <v>82</v>
      </c>
    </row>
    <row r="215" spans="1:11" ht="17.45" customHeight="1" x14ac:dyDescent="0.25">
      <c r="F215" s="53" t="s">
        <v>82</v>
      </c>
    </row>
    <row r="216" spans="1:11" ht="17.45" customHeight="1" x14ac:dyDescent="0.25">
      <c r="A216" s="53" t="s">
        <v>375</v>
      </c>
      <c r="B216" s="56" t="s">
        <v>376</v>
      </c>
      <c r="F216" s="53" t="s">
        <v>82</v>
      </c>
    </row>
    <row r="217" spans="1:11" ht="17.45" customHeight="1" x14ac:dyDescent="0.25">
      <c r="B217" s="56" t="s">
        <v>377</v>
      </c>
      <c r="C217" s="53" t="s">
        <v>277</v>
      </c>
      <c r="D217" s="53">
        <v>28</v>
      </c>
      <c r="F217" s="53" t="s">
        <v>82</v>
      </c>
    </row>
    <row r="218" spans="1:11" ht="17.45" customHeight="1" x14ac:dyDescent="0.25">
      <c r="B218" s="56" t="s">
        <v>378</v>
      </c>
      <c r="C218" s="53" t="s">
        <v>379</v>
      </c>
      <c r="D218" s="53">
        <v>4</v>
      </c>
      <c r="F218" s="53" t="s">
        <v>82</v>
      </c>
    </row>
    <row r="221" spans="1:11" ht="17.45" customHeight="1" x14ac:dyDescent="0.25">
      <c r="A221" s="66"/>
      <c r="B221" s="67"/>
      <c r="C221" s="68"/>
      <c r="D221" s="68"/>
      <c r="E221" s="75" t="s">
        <v>380</v>
      </c>
      <c r="F221" s="76" t="s">
        <v>95</v>
      </c>
      <c r="G221" s="77" t="s">
        <v>381</v>
      </c>
      <c r="H221" s="57" t="s">
        <v>98</v>
      </c>
      <c r="I221" s="57" t="s">
        <v>99</v>
      </c>
      <c r="J221" s="57" t="s">
        <v>100</v>
      </c>
      <c r="K221" s="57" t="s">
        <v>382</v>
      </c>
    </row>
    <row r="222" spans="1:11" ht="50.1" customHeight="1" x14ac:dyDescent="0.25">
      <c r="A222" s="69"/>
      <c r="B222" s="81"/>
      <c r="C222" s="74"/>
      <c r="D222" s="74"/>
      <c r="E222" s="61" t="s">
        <v>383</v>
      </c>
      <c r="G222" s="53">
        <v>1</v>
      </c>
      <c r="H222" s="53">
        <v>1</v>
      </c>
      <c r="I222" s="53">
        <v>1</v>
      </c>
      <c r="J222" s="62">
        <v>0</v>
      </c>
      <c r="K222" s="62" t="s">
        <v>384</v>
      </c>
    </row>
    <row r="223" spans="1:11" ht="50.1" customHeight="1" x14ac:dyDescent="0.25">
      <c r="A223" s="69"/>
      <c r="B223" s="81"/>
      <c r="C223" s="74"/>
      <c r="D223" s="74"/>
      <c r="E223" s="61" t="s">
        <v>385</v>
      </c>
      <c r="G223" s="53">
        <v>1</v>
      </c>
      <c r="H223" s="53">
        <v>1</v>
      </c>
      <c r="I223" s="53">
        <v>2</v>
      </c>
      <c r="J223" s="62">
        <v>0</v>
      </c>
      <c r="K223" s="62" t="s">
        <v>113</v>
      </c>
    </row>
    <row r="224" spans="1:11" ht="50.1" customHeight="1" x14ac:dyDescent="0.25">
      <c r="A224" s="69"/>
      <c r="B224" s="81"/>
      <c r="C224" s="74"/>
      <c r="D224" s="74"/>
      <c r="E224" s="61" t="s">
        <v>386</v>
      </c>
      <c r="G224" s="53">
        <v>1</v>
      </c>
      <c r="H224" s="53">
        <v>1</v>
      </c>
      <c r="I224" s="53">
        <v>1</v>
      </c>
      <c r="J224" s="62">
        <v>1</v>
      </c>
      <c r="K224" s="62" t="s">
        <v>387</v>
      </c>
    </row>
    <row r="225" spans="1:11" ht="50.1" customHeight="1" x14ac:dyDescent="0.25">
      <c r="A225" s="69"/>
      <c r="B225" s="81"/>
      <c r="C225" s="74"/>
      <c r="D225" s="74"/>
      <c r="E225" s="61" t="s">
        <v>388</v>
      </c>
      <c r="G225" s="53">
        <v>1</v>
      </c>
      <c r="H225" s="53">
        <v>3</v>
      </c>
      <c r="I225" s="53">
        <v>3</v>
      </c>
      <c r="J225" s="62">
        <v>2</v>
      </c>
      <c r="K225" s="62" t="s">
        <v>389</v>
      </c>
    </row>
    <row r="226" spans="1:11" ht="50.1" customHeight="1" x14ac:dyDescent="0.25">
      <c r="A226" s="69"/>
      <c r="B226" s="81"/>
      <c r="C226" s="74"/>
      <c r="D226" s="74"/>
      <c r="E226" s="61" t="s">
        <v>390</v>
      </c>
      <c r="G226" s="53">
        <v>1</v>
      </c>
      <c r="H226" s="53">
        <v>2</v>
      </c>
      <c r="I226" s="53">
        <v>3</v>
      </c>
      <c r="J226" s="62">
        <v>1</v>
      </c>
      <c r="K226" s="62" t="s">
        <v>391</v>
      </c>
    </row>
    <row r="227" spans="1:11" ht="50.1" customHeight="1" x14ac:dyDescent="0.25">
      <c r="A227" s="70"/>
      <c r="B227" s="71"/>
      <c r="C227" s="72"/>
      <c r="D227" s="72"/>
      <c r="E227" s="63" t="s">
        <v>392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393</v>
      </c>
    </row>
  </sheetData>
  <dataValidations disablePrompts="1"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zoomScale="85" zoomScaleNormal="85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G44" sqref="G44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394</v>
      </c>
      <c r="C1" s="139">
        <v>6449</v>
      </c>
      <c r="D1" s="199" t="s">
        <v>0</v>
      </c>
      <c r="E1" s="200"/>
      <c r="F1" s="200"/>
      <c r="G1" s="200"/>
      <c r="H1" s="200"/>
      <c r="I1" s="169"/>
      <c r="J1" s="142" t="s">
        <v>395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80"/>
      <c r="AA1" s="181"/>
      <c r="AB1" s="181"/>
      <c r="AC1" s="181"/>
      <c r="AD1" s="181"/>
      <c r="AE1" s="181"/>
      <c r="AF1" s="181"/>
      <c r="AG1" s="181"/>
      <c r="AH1" s="181"/>
      <c r="AI1" s="181"/>
      <c r="AJ1" s="181"/>
    </row>
    <row r="2" spans="1:109" ht="17.45" customHeight="1" x14ac:dyDescent="0.25">
      <c r="B2" s="139" t="s">
        <v>7</v>
      </c>
      <c r="C2" s="139" t="s">
        <v>396</v>
      </c>
      <c r="D2" s="170"/>
      <c r="E2" s="180"/>
      <c r="F2" s="181"/>
      <c r="G2" s="181"/>
      <c r="H2" s="181"/>
      <c r="I2" s="165"/>
      <c r="J2" s="129" t="s">
        <v>397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398</v>
      </c>
      <c r="D3" s="170"/>
      <c r="E3" s="180"/>
      <c r="F3" s="181"/>
      <c r="G3" s="181"/>
      <c r="H3" s="181"/>
      <c r="I3" s="165"/>
      <c r="J3" s="129" t="s">
        <v>399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6">
        <v>1</v>
      </c>
      <c r="AB3" s="181"/>
      <c r="AC3" s="181"/>
      <c r="AD3" s="181"/>
      <c r="AE3" s="181"/>
      <c r="AG3" s="186">
        <v>2</v>
      </c>
      <c r="AH3" s="181"/>
      <c r="AI3" s="181"/>
      <c r="AJ3" s="181"/>
      <c r="AK3" s="181"/>
      <c r="AM3" s="186">
        <v>3</v>
      </c>
      <c r="AN3" s="181"/>
      <c r="AO3" s="181"/>
      <c r="AP3" s="181"/>
      <c r="AQ3" s="181"/>
      <c r="AS3" s="186">
        <v>4</v>
      </c>
      <c r="AT3" s="181"/>
      <c r="AU3" s="181"/>
      <c r="AV3" s="181"/>
      <c r="AW3" s="181"/>
      <c r="AY3" s="186">
        <v>5</v>
      </c>
      <c r="AZ3" s="181"/>
      <c r="BA3" s="181"/>
      <c r="BB3" s="181"/>
      <c r="BC3" s="181"/>
      <c r="BE3" s="186">
        <v>6</v>
      </c>
      <c r="BF3" s="181"/>
      <c r="BG3" s="181"/>
      <c r="BH3" s="181"/>
      <c r="BI3" s="181"/>
      <c r="BK3" s="186">
        <v>7</v>
      </c>
      <c r="BL3" s="181"/>
      <c r="BM3" s="181"/>
      <c r="BN3" s="181"/>
      <c r="BO3" s="181"/>
      <c r="BQ3" s="186">
        <v>8</v>
      </c>
      <c r="BR3" s="181"/>
      <c r="BS3" s="181"/>
      <c r="BT3" s="181"/>
      <c r="BU3" s="181"/>
      <c r="BW3" s="186">
        <v>9</v>
      </c>
      <c r="BX3" s="181"/>
      <c r="BY3" s="181"/>
      <c r="BZ3" s="181"/>
      <c r="CA3" s="181"/>
      <c r="CC3" s="186" t="s">
        <v>400</v>
      </c>
      <c r="CD3" s="181"/>
      <c r="CE3" s="181"/>
      <c r="CF3" s="181"/>
      <c r="CG3" s="181"/>
      <c r="CI3" s="186">
        <v>1</v>
      </c>
      <c r="CJ3" s="181"/>
      <c r="CK3" s="181"/>
      <c r="CL3" s="181"/>
      <c r="CM3" s="181"/>
    </row>
    <row r="4" spans="1:109" ht="17.45" customHeight="1" x14ac:dyDescent="0.25">
      <c r="B4" s="139" t="s">
        <v>8</v>
      </c>
      <c r="C4" s="139" t="s">
        <v>855</v>
      </c>
      <c r="D4" s="170"/>
      <c r="E4" s="180"/>
      <c r="F4" s="181"/>
      <c r="G4" s="181"/>
      <c r="H4" s="181"/>
      <c r="I4" s="165"/>
      <c r="J4" s="129" t="s">
        <v>401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81"/>
      <c r="AB4" s="181"/>
      <c r="AC4" s="181"/>
      <c r="AD4" s="181"/>
      <c r="AE4" s="181"/>
      <c r="AG4" s="181"/>
      <c r="AH4" s="181"/>
      <c r="AI4" s="181"/>
      <c r="AJ4" s="181"/>
      <c r="AK4" s="181"/>
      <c r="AM4" s="181"/>
      <c r="AN4" s="181"/>
      <c r="AO4" s="181"/>
      <c r="AP4" s="181"/>
      <c r="AQ4" s="181"/>
      <c r="AS4" s="181"/>
      <c r="AT4" s="181"/>
      <c r="AU4" s="181"/>
      <c r="AV4" s="181"/>
      <c r="AW4" s="181"/>
      <c r="AY4" s="181"/>
      <c r="AZ4" s="181"/>
      <c r="BA4" s="181"/>
      <c r="BB4" s="181"/>
      <c r="BC4" s="181"/>
      <c r="BE4" s="181"/>
      <c r="BF4" s="181"/>
      <c r="BG4" s="181"/>
      <c r="BH4" s="181"/>
      <c r="BI4" s="181"/>
      <c r="BK4" s="181"/>
      <c r="BL4" s="181"/>
      <c r="BM4" s="181"/>
      <c r="BN4" s="181"/>
      <c r="BO4" s="181"/>
      <c r="BQ4" s="181"/>
      <c r="BR4" s="181"/>
      <c r="BS4" s="181"/>
      <c r="BT4" s="181"/>
      <c r="BU4" s="181"/>
      <c r="BW4" s="181"/>
      <c r="BX4" s="181"/>
      <c r="BY4" s="181"/>
      <c r="BZ4" s="181"/>
      <c r="CA4" s="181"/>
      <c r="CC4" s="181"/>
      <c r="CD4" s="181"/>
      <c r="CE4" s="181"/>
      <c r="CF4" s="181"/>
      <c r="CG4" s="181"/>
      <c r="CI4" s="181"/>
      <c r="CJ4" s="181"/>
      <c r="CK4" s="181"/>
      <c r="CL4" s="181"/>
      <c r="CM4" s="181"/>
    </row>
    <row r="5" spans="1:109" ht="17.45" customHeight="1" x14ac:dyDescent="0.25">
      <c r="B5" s="139" t="s">
        <v>9</v>
      </c>
      <c r="C5" s="139" t="s">
        <v>855</v>
      </c>
      <c r="D5" s="171"/>
      <c r="E5" s="167"/>
      <c r="F5" s="167"/>
      <c r="G5" s="167"/>
      <c r="H5" s="167"/>
      <c r="I5" s="168"/>
      <c r="J5" s="130" t="s">
        <v>402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403</v>
      </c>
      <c r="AC5" t="s">
        <v>404</v>
      </c>
      <c r="AD5" t="s">
        <v>405</v>
      </c>
      <c r="AE5" t="s">
        <v>406</v>
      </c>
      <c r="AH5" t="s">
        <v>403</v>
      </c>
      <c r="AI5" t="s">
        <v>404</v>
      </c>
      <c r="AJ5" t="s">
        <v>405</v>
      </c>
      <c r="AK5" t="s">
        <v>406</v>
      </c>
      <c r="AN5" t="s">
        <v>403</v>
      </c>
      <c r="AO5" t="s">
        <v>404</v>
      </c>
      <c r="AP5" t="s">
        <v>405</v>
      </c>
      <c r="AQ5" t="s">
        <v>406</v>
      </c>
      <c r="AT5" t="s">
        <v>403</v>
      </c>
      <c r="AU5" t="s">
        <v>404</v>
      </c>
      <c r="AV5" t="s">
        <v>405</v>
      </c>
      <c r="AW5" t="s">
        <v>406</v>
      </c>
      <c r="AZ5" t="s">
        <v>403</v>
      </c>
      <c r="BA5" t="s">
        <v>404</v>
      </c>
      <c r="BB5" t="s">
        <v>405</v>
      </c>
      <c r="BC5" t="s">
        <v>406</v>
      </c>
      <c r="BF5" t="s">
        <v>403</v>
      </c>
      <c r="BG5" t="s">
        <v>404</v>
      </c>
      <c r="BH5" t="s">
        <v>405</v>
      </c>
      <c r="BI5" t="s">
        <v>406</v>
      </c>
      <c r="BL5" t="s">
        <v>403</v>
      </c>
      <c r="BM5" t="s">
        <v>404</v>
      </c>
      <c r="BN5" t="s">
        <v>405</v>
      </c>
      <c r="BO5" t="s">
        <v>406</v>
      </c>
      <c r="BR5" t="s">
        <v>403</v>
      </c>
      <c r="BS5" t="s">
        <v>404</v>
      </c>
      <c r="BT5" t="s">
        <v>405</v>
      </c>
      <c r="BU5" t="s">
        <v>406</v>
      </c>
      <c r="BX5" t="s">
        <v>403</v>
      </c>
      <c r="BY5" t="s">
        <v>404</v>
      </c>
      <c r="BZ5" t="s">
        <v>405</v>
      </c>
      <c r="CA5" t="s">
        <v>406</v>
      </c>
      <c r="CD5" t="s">
        <v>403</v>
      </c>
      <c r="CE5" t="s">
        <v>404</v>
      </c>
      <c r="CF5" t="s">
        <v>405</v>
      </c>
      <c r="CG5" t="s">
        <v>406</v>
      </c>
      <c r="CJ5" t="s">
        <v>403</v>
      </c>
      <c r="CK5" t="s">
        <v>404</v>
      </c>
      <c r="CL5" t="s">
        <v>405</v>
      </c>
      <c r="CM5" t="s">
        <v>406</v>
      </c>
      <c r="CP5" t="s">
        <v>403</v>
      </c>
      <c r="CQ5" t="s">
        <v>404</v>
      </c>
      <c r="CR5" t="s">
        <v>405</v>
      </c>
      <c r="CS5" t="s">
        <v>406</v>
      </c>
      <c r="CV5" t="s">
        <v>403</v>
      </c>
      <c r="CW5" t="s">
        <v>404</v>
      </c>
      <c r="CX5" t="s">
        <v>405</v>
      </c>
      <c r="CY5" t="s">
        <v>406</v>
      </c>
      <c r="DB5" t="s">
        <v>403</v>
      </c>
      <c r="DC5" t="s">
        <v>404</v>
      </c>
      <c r="DD5" t="s">
        <v>405</v>
      </c>
      <c r="DE5" t="s">
        <v>406</v>
      </c>
    </row>
    <row r="6" spans="1:109" ht="17.45" customHeight="1" x14ac:dyDescent="0.25">
      <c r="B6" s="139" t="s">
        <v>6</v>
      </c>
      <c r="C6" s="139" t="s">
        <v>407</v>
      </c>
      <c r="D6" s="185" t="s">
        <v>408</v>
      </c>
      <c r="E6" s="162"/>
      <c r="F6" s="162"/>
      <c r="G6" s="162"/>
      <c r="H6" s="162"/>
      <c r="I6" s="163"/>
      <c r="J6" s="140" t="s">
        <v>3</v>
      </c>
      <c r="K6" s="141" t="s">
        <v>409</v>
      </c>
      <c r="L6" s="102"/>
      <c r="M6" s="103" t="s">
        <v>410</v>
      </c>
      <c r="N6" s="94"/>
      <c r="O6" s="94"/>
      <c r="P6" s="94"/>
      <c r="Q6" s="104" t="s">
        <v>411</v>
      </c>
      <c r="R6" s="94"/>
      <c r="S6" s="105"/>
      <c r="T6" s="106"/>
      <c r="AA6" s="188" t="s">
        <v>412</v>
      </c>
      <c r="AB6" s="181"/>
      <c r="AC6" s="181"/>
      <c r="AD6" s="181"/>
      <c r="AE6" s="181"/>
      <c r="AF6" s="153"/>
      <c r="AG6" s="188" t="s">
        <v>413</v>
      </c>
      <c r="AH6" s="181"/>
      <c r="AI6" s="181"/>
      <c r="AJ6" s="181"/>
      <c r="AK6" s="181"/>
      <c r="AL6" s="153"/>
      <c r="AM6" s="188" t="s">
        <v>414</v>
      </c>
      <c r="AN6" s="181"/>
      <c r="AO6" s="181"/>
      <c r="AP6" s="181"/>
      <c r="AQ6" s="181"/>
      <c r="AR6" s="153"/>
      <c r="AS6" s="188" t="s">
        <v>415</v>
      </c>
      <c r="AT6" s="181"/>
      <c r="AU6" s="181"/>
      <c r="AV6" s="181"/>
      <c r="AW6" s="181"/>
      <c r="AX6" s="153"/>
      <c r="AY6" s="188" t="s">
        <v>416</v>
      </c>
      <c r="AZ6" s="181"/>
      <c r="BA6" s="181"/>
      <c r="BB6" s="181"/>
      <c r="BC6" s="181"/>
      <c r="BD6" s="153"/>
      <c r="BE6" s="188" t="s">
        <v>417</v>
      </c>
      <c r="BF6" s="181"/>
      <c r="BG6" s="181"/>
      <c r="BH6" s="181"/>
      <c r="BI6" s="181"/>
      <c r="BJ6" s="153"/>
      <c r="BK6" s="188" t="s">
        <v>418</v>
      </c>
      <c r="BL6" s="181"/>
      <c r="BM6" s="181"/>
      <c r="BN6" s="181"/>
      <c r="BO6" s="181"/>
      <c r="BP6" s="153"/>
      <c r="BQ6" s="188" t="s">
        <v>419</v>
      </c>
      <c r="BR6" s="181"/>
      <c r="BS6" s="181"/>
      <c r="BT6" s="181"/>
      <c r="BU6" s="181"/>
      <c r="BV6" s="153"/>
      <c r="BW6" s="188" t="s">
        <v>420</v>
      </c>
      <c r="BX6" s="181"/>
      <c r="BY6" s="181"/>
      <c r="BZ6" s="181"/>
      <c r="CA6" s="181"/>
      <c r="CC6" s="188" t="s">
        <v>421</v>
      </c>
      <c r="CD6" s="181"/>
      <c r="CE6" s="181"/>
      <c r="CF6" s="181"/>
      <c r="CG6" s="181"/>
      <c r="CI6" s="188" t="s">
        <v>422</v>
      </c>
      <c r="CJ6" s="181"/>
      <c r="CK6" s="181"/>
      <c r="CL6" s="181"/>
      <c r="CM6" s="181"/>
      <c r="CO6" s="188" t="s">
        <v>64</v>
      </c>
      <c r="CP6" s="181"/>
      <c r="CQ6" s="181"/>
      <c r="CR6" s="181"/>
      <c r="CS6" s="181"/>
      <c r="CU6" s="188" t="s">
        <v>28</v>
      </c>
      <c r="CV6" s="181"/>
      <c r="CW6" s="181"/>
      <c r="CX6" s="181"/>
      <c r="CY6" s="181"/>
      <c r="DA6" s="188" t="s">
        <v>64</v>
      </c>
      <c r="DB6" s="181"/>
      <c r="DC6" s="181"/>
      <c r="DD6" s="181"/>
      <c r="DE6" s="181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97" t="s">
        <v>423</v>
      </c>
      <c r="K7" s="181"/>
      <c r="L7" s="181"/>
      <c r="M7" s="198"/>
      <c r="N7" s="186"/>
      <c r="O7" s="186"/>
      <c r="P7" s="186"/>
      <c r="Q7" s="186"/>
      <c r="R7" s="186"/>
      <c r="S7" s="181"/>
      <c r="T7" s="181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97" t="s">
        <v>424</v>
      </c>
      <c r="K8" s="181"/>
      <c r="L8" s="181"/>
      <c r="M8" s="198"/>
      <c r="N8" s="186"/>
      <c r="O8" s="186"/>
      <c r="P8" s="186"/>
      <c r="Q8" s="186"/>
      <c r="R8" s="186"/>
      <c r="S8" s="181"/>
      <c r="T8" s="181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425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425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426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87" t="s">
        <v>97</v>
      </c>
      <c r="CP12" s="181"/>
      <c r="CQ12" s="181"/>
      <c r="CR12" s="181"/>
      <c r="CS12" s="181"/>
      <c r="CT12" s="59"/>
      <c r="CU12" s="187" t="s">
        <v>97</v>
      </c>
      <c r="CV12" s="181"/>
      <c r="CW12" s="181"/>
      <c r="CX12" s="181"/>
      <c r="CY12" s="181"/>
      <c r="CZ12" s="59"/>
      <c r="DA12" s="187" t="s">
        <v>97</v>
      </c>
      <c r="DB12" s="181"/>
      <c r="DC12" s="181"/>
      <c r="DD12" s="181"/>
      <c r="DE12" s="181"/>
    </row>
    <row r="13" spans="1:109" s="59" customFormat="1" ht="45.75" customHeight="1" x14ac:dyDescent="0.25">
      <c r="B13" s="80" t="s">
        <v>427</v>
      </c>
      <c r="C13" s="80" t="s">
        <v>428</v>
      </c>
      <c r="D13" s="80" t="s">
        <v>95</v>
      </c>
      <c r="E13" s="82" t="s">
        <v>429</v>
      </c>
      <c r="F13" s="80" t="s">
        <v>430</v>
      </c>
      <c r="G13" s="80" t="s">
        <v>431</v>
      </c>
      <c r="H13" s="80" t="s">
        <v>432</v>
      </c>
      <c r="I13" s="80" t="s">
        <v>433</v>
      </c>
      <c r="J13" s="82" t="s">
        <v>434</v>
      </c>
      <c r="K13" s="82" t="s">
        <v>435</v>
      </c>
      <c r="L13" s="82" t="s">
        <v>436</v>
      </c>
      <c r="M13" s="82" t="s">
        <v>437</v>
      </c>
      <c r="N13" s="82" t="s">
        <v>438</v>
      </c>
      <c r="O13" s="80" t="s">
        <v>98</v>
      </c>
      <c r="P13" s="80" t="s">
        <v>15</v>
      </c>
      <c r="Q13" s="82" t="s">
        <v>99</v>
      </c>
      <c r="R13" s="82" t="s">
        <v>100</v>
      </c>
      <c r="S13" s="195" t="s">
        <v>94</v>
      </c>
      <c r="T13" s="167"/>
      <c r="U13" s="82"/>
      <c r="AB13" s="80" t="s">
        <v>98</v>
      </c>
      <c r="AC13" s="80" t="s">
        <v>15</v>
      </c>
      <c r="AD13" s="82" t="s">
        <v>99</v>
      </c>
      <c r="AE13" s="82" t="s">
        <v>100</v>
      </c>
      <c r="AF13" s="82"/>
      <c r="AH13" s="80" t="s">
        <v>98</v>
      </c>
      <c r="AI13" s="80" t="s">
        <v>15</v>
      </c>
      <c r="AJ13" s="82" t="s">
        <v>99</v>
      </c>
      <c r="AK13" s="82" t="s">
        <v>100</v>
      </c>
      <c r="AL13" s="82"/>
      <c r="AN13" s="80" t="s">
        <v>98</v>
      </c>
      <c r="AO13" s="80" t="s">
        <v>15</v>
      </c>
      <c r="AP13" s="82" t="s">
        <v>99</v>
      </c>
      <c r="AQ13" s="82" t="s">
        <v>100</v>
      </c>
      <c r="AR13" s="82"/>
      <c r="AT13" s="80" t="s">
        <v>98</v>
      </c>
      <c r="AU13" s="80" t="s">
        <v>15</v>
      </c>
      <c r="AV13" s="82" t="s">
        <v>99</v>
      </c>
      <c r="AW13" s="82" t="s">
        <v>100</v>
      </c>
      <c r="AX13" s="82"/>
      <c r="AZ13" s="80" t="s">
        <v>98</v>
      </c>
      <c r="BA13" s="80" t="s">
        <v>15</v>
      </c>
      <c r="BB13" s="82" t="s">
        <v>99</v>
      </c>
      <c r="BC13" s="82" t="s">
        <v>100</v>
      </c>
      <c r="BD13" s="82"/>
      <c r="BF13" s="80" t="s">
        <v>98</v>
      </c>
      <c r="BG13" s="80" t="s">
        <v>15</v>
      </c>
      <c r="BH13" s="82" t="s">
        <v>99</v>
      </c>
      <c r="BI13" s="82" t="s">
        <v>100</v>
      </c>
      <c r="BJ13" s="82"/>
      <c r="BL13" s="80" t="s">
        <v>98</v>
      </c>
      <c r="BM13" s="80" t="s">
        <v>15</v>
      </c>
      <c r="BN13" s="82" t="s">
        <v>99</v>
      </c>
      <c r="BO13" s="82" t="s">
        <v>100</v>
      </c>
      <c r="BP13" s="82"/>
      <c r="BR13" s="80" t="s">
        <v>98</v>
      </c>
      <c r="BS13" s="80" t="s">
        <v>15</v>
      </c>
      <c r="BT13" s="82" t="s">
        <v>99</v>
      </c>
      <c r="BU13" s="82" t="s">
        <v>100</v>
      </c>
      <c r="BV13" s="82"/>
      <c r="BX13" s="80" t="s">
        <v>98</v>
      </c>
      <c r="BY13" s="80" t="s">
        <v>15</v>
      </c>
      <c r="BZ13" s="82" t="s">
        <v>99</v>
      </c>
      <c r="CA13" s="82" t="s">
        <v>100</v>
      </c>
      <c r="CD13" s="80" t="s">
        <v>98</v>
      </c>
      <c r="CE13" s="80" t="s">
        <v>15</v>
      </c>
      <c r="CF13" s="82" t="s">
        <v>99</v>
      </c>
      <c r="CG13" s="82" t="s">
        <v>100</v>
      </c>
      <c r="CI13" s="187" t="s">
        <v>97</v>
      </c>
      <c r="CJ13" s="184"/>
      <c r="CK13" s="184"/>
      <c r="CL13" s="184"/>
      <c r="CM13" s="184"/>
      <c r="CO13" s="184" t="s">
        <v>97</v>
      </c>
      <c r="CP13" s="184"/>
      <c r="CQ13" s="184"/>
      <c r="CR13" s="184"/>
      <c r="CS13" s="184"/>
      <c r="CU13" s="184" t="s">
        <v>96</v>
      </c>
      <c r="CV13" s="184"/>
      <c r="CW13" s="184"/>
      <c r="CX13" s="184"/>
      <c r="CY13" s="184"/>
      <c r="DA13" s="184" t="s">
        <v>96</v>
      </c>
      <c r="DB13" s="184"/>
      <c r="DC13" s="184"/>
      <c r="DD13" s="184"/>
      <c r="DE13" s="184"/>
    </row>
    <row r="14" spans="1:109" x14ac:dyDescent="0.25">
      <c r="A14" s="59"/>
      <c r="B14" s="132" t="s">
        <v>412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439</v>
      </c>
      <c r="CJ14" s="180">
        <f t="shared" ref="CJ14:CJ49" si="39">SUMIF($M$15:$M$243,CI14,$N$15:$N$243)</f>
        <v>0</v>
      </c>
      <c r="CK14" s="181"/>
      <c r="CL14" s="181"/>
      <c r="CM14" s="181"/>
      <c r="CO14" t="s">
        <v>440</v>
      </c>
      <c r="CP14" s="180">
        <f t="shared" ref="CP14:CP49" si="40">SUMIF($M$15:$M$243,CO14,$N$15:$N$243)</f>
        <v>0</v>
      </c>
      <c r="CQ14" s="181"/>
      <c r="CR14" s="181"/>
      <c r="CS14" s="181"/>
      <c r="CU14" t="s">
        <v>441</v>
      </c>
      <c r="CV14" s="180">
        <f t="shared" ref="CV14:CV28" si="41">SUMIF($M$15:$M$245,CU14,$N$15:$N$245)</f>
        <v>0</v>
      </c>
      <c r="CW14" s="181"/>
      <c r="CX14" s="181"/>
      <c r="CY14" s="181"/>
      <c r="DA14" t="s">
        <v>442</v>
      </c>
      <c r="DB14" s="180">
        <f t="shared" ref="DB14:DB28" si="42">SUMIF($M$15:$M$243,DA14,$N$15:$N$243)</f>
        <v>0</v>
      </c>
      <c r="DC14" s="181"/>
      <c r="DD14" s="181"/>
      <c r="DE14" s="181"/>
    </row>
    <row r="15" spans="1:109" x14ac:dyDescent="0.25">
      <c r="B15" s="79" t="s">
        <v>443</v>
      </c>
      <c r="C15" s="73">
        <v>1</v>
      </c>
      <c r="D15" s="29" t="s">
        <v>113</v>
      </c>
      <c r="E15" s="29" t="s">
        <v>444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M12x35-HDG-8.8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445</v>
      </c>
      <c r="CJ15" s="180">
        <f t="shared" si="39"/>
        <v>0</v>
      </c>
      <c r="CK15" s="181"/>
      <c r="CL15" s="181"/>
      <c r="CM15" s="181"/>
      <c r="CO15" t="s">
        <v>446</v>
      </c>
      <c r="CP15" s="180">
        <f t="shared" si="40"/>
        <v>0</v>
      </c>
      <c r="CQ15" s="181"/>
      <c r="CR15" s="181"/>
      <c r="CS15" s="181"/>
      <c r="CU15" t="s">
        <v>447</v>
      </c>
      <c r="CV15" s="180">
        <f t="shared" si="41"/>
        <v>0</v>
      </c>
      <c r="CW15" s="181"/>
      <c r="CX15" s="181"/>
      <c r="CY15" s="181"/>
      <c r="DA15" t="s">
        <v>448</v>
      </c>
      <c r="DB15" s="180">
        <f t="shared" si="42"/>
        <v>0</v>
      </c>
      <c r="DC15" s="181"/>
      <c r="DD15" s="181"/>
      <c r="DE15" s="181"/>
    </row>
    <row r="16" spans="1:109" x14ac:dyDescent="0.25">
      <c r="B16" s="135" t="s">
        <v>449</v>
      </c>
      <c r="C16" s="73">
        <v>1</v>
      </c>
      <c r="D16" s="29" t="s">
        <v>113</v>
      </c>
      <c r="E16" s="29" t="s">
        <v>444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M12x50-HDG-8.8</v>
      </c>
      <c r="N16" s="29">
        <f>C16*8</f>
        <v>8</v>
      </c>
      <c r="O16" s="29">
        <f>C16*8</f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450</v>
      </c>
      <c r="CJ16" s="180">
        <f t="shared" si="39"/>
        <v>0</v>
      </c>
      <c r="CK16" s="181"/>
      <c r="CL16" s="181"/>
      <c r="CM16" s="181"/>
      <c r="CO16" t="s">
        <v>451</v>
      </c>
      <c r="CP16" s="180">
        <f t="shared" si="40"/>
        <v>0</v>
      </c>
      <c r="CQ16" s="181"/>
      <c r="CR16" s="181"/>
      <c r="CS16" s="181"/>
      <c r="CU16" t="s">
        <v>452</v>
      </c>
      <c r="CV16" s="180">
        <f t="shared" si="41"/>
        <v>0</v>
      </c>
      <c r="CW16" s="181"/>
      <c r="CX16" s="181"/>
      <c r="CY16" s="181"/>
      <c r="DA16" t="s">
        <v>453</v>
      </c>
      <c r="DB16" s="180">
        <f t="shared" si="42"/>
        <v>0</v>
      </c>
      <c r="DC16" s="181"/>
      <c r="DD16" s="181"/>
      <c r="DE16" s="181"/>
    </row>
    <row r="17" spans="1:109" x14ac:dyDescent="0.25">
      <c r="B17" s="79" t="s">
        <v>454</v>
      </c>
      <c r="C17" s="73">
        <v>1</v>
      </c>
      <c r="D17" s="29" t="s">
        <v>113</v>
      </c>
      <c r="E17" s="29" t="s">
        <v>444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M16x60-HDG-8.8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455</v>
      </c>
      <c r="CJ17" s="180">
        <f t="shared" si="39"/>
        <v>0</v>
      </c>
      <c r="CK17" s="181"/>
      <c r="CL17" s="181"/>
      <c r="CM17" s="181"/>
      <c r="CO17" t="s">
        <v>456</v>
      </c>
      <c r="CP17" s="180">
        <f t="shared" si="40"/>
        <v>0</v>
      </c>
      <c r="CQ17" s="181"/>
      <c r="CR17" s="181"/>
      <c r="CS17" s="181"/>
      <c r="CU17" t="s">
        <v>457</v>
      </c>
      <c r="CV17" s="180">
        <f t="shared" si="41"/>
        <v>0</v>
      </c>
      <c r="CW17" s="181"/>
      <c r="CX17" s="181"/>
      <c r="CY17" s="181"/>
      <c r="DA17" t="s">
        <v>458</v>
      </c>
      <c r="DB17" s="180">
        <f t="shared" si="42"/>
        <v>0</v>
      </c>
      <c r="DC17" s="181"/>
      <c r="DD17" s="181"/>
      <c r="DE17" s="181"/>
    </row>
    <row r="18" spans="1:109" x14ac:dyDescent="0.25">
      <c r="B18" s="79" t="s">
        <v>459</v>
      </c>
      <c r="C18" s="73">
        <v>1</v>
      </c>
      <c r="D18" s="29" t="s">
        <v>113</v>
      </c>
      <c r="E18" s="29" t="s">
        <v>444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M16x60-HDG-8.8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460</v>
      </c>
      <c r="CJ18" s="180">
        <f t="shared" si="39"/>
        <v>0</v>
      </c>
      <c r="CK18" s="181"/>
      <c r="CL18" s="181"/>
      <c r="CM18" s="181"/>
      <c r="CO18" t="s">
        <v>461</v>
      </c>
      <c r="CP18" s="180">
        <f t="shared" si="40"/>
        <v>0</v>
      </c>
      <c r="CQ18" s="181"/>
      <c r="CR18" s="181"/>
      <c r="CS18" s="181"/>
      <c r="CU18" t="s">
        <v>462</v>
      </c>
      <c r="CV18" s="180">
        <f t="shared" si="41"/>
        <v>0</v>
      </c>
      <c r="CW18" s="181"/>
      <c r="CX18" s="181"/>
      <c r="CY18" s="181"/>
      <c r="DA18" t="s">
        <v>463</v>
      </c>
      <c r="DB18" s="180">
        <f t="shared" si="42"/>
        <v>0</v>
      </c>
      <c r="DC18" s="181"/>
      <c r="DD18" s="181"/>
      <c r="DE18" s="181"/>
    </row>
    <row r="19" spans="1:109" x14ac:dyDescent="0.25">
      <c r="B19" s="79" t="s">
        <v>464</v>
      </c>
      <c r="C19" s="73">
        <v>1</v>
      </c>
      <c r="D19" s="29" t="s">
        <v>113</v>
      </c>
      <c r="E19" s="29" t="s">
        <v>444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M16x60-HDG-8.8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624</v>
      </c>
      <c r="AI19">
        <f t="shared" si="4"/>
        <v>12</v>
      </c>
      <c r="AJ19">
        <f t="shared" si="5"/>
        <v>984</v>
      </c>
      <c r="AK19">
        <f t="shared" si="6"/>
        <v>52</v>
      </c>
      <c r="AM19" t="s">
        <v>21</v>
      </c>
      <c r="AN19">
        <f t="shared" si="7"/>
        <v>458</v>
      </c>
      <c r="AO19">
        <f t="shared" si="8"/>
        <v>0</v>
      </c>
      <c r="AP19">
        <f t="shared" si="9"/>
        <v>778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2345</v>
      </c>
      <c r="CE19">
        <f t="shared" si="36"/>
        <v>393</v>
      </c>
      <c r="CF19">
        <f t="shared" si="37"/>
        <v>3697</v>
      </c>
      <c r="CG19">
        <f t="shared" si="38"/>
        <v>1195</v>
      </c>
      <c r="CI19" t="s">
        <v>465</v>
      </c>
      <c r="CJ19" s="180">
        <f t="shared" si="39"/>
        <v>0</v>
      </c>
      <c r="CK19" s="181"/>
      <c r="CL19" s="181"/>
      <c r="CM19" s="181"/>
      <c r="CO19" t="s">
        <v>466</v>
      </c>
      <c r="CP19" s="180">
        <f t="shared" si="40"/>
        <v>0</v>
      </c>
      <c r="CQ19" s="181"/>
      <c r="CR19" s="181"/>
      <c r="CS19" s="181"/>
      <c r="CU19" t="s">
        <v>467</v>
      </c>
      <c r="CV19" s="180">
        <f t="shared" si="41"/>
        <v>0</v>
      </c>
      <c r="CW19" s="181"/>
      <c r="CX19" s="181"/>
      <c r="CY19" s="181"/>
      <c r="DA19" t="s">
        <v>468</v>
      </c>
      <c r="DB19" s="180">
        <f t="shared" si="42"/>
        <v>0</v>
      </c>
      <c r="DC19" s="181"/>
      <c r="DD19" s="181"/>
      <c r="DE19" s="181"/>
    </row>
    <row r="20" spans="1:109" x14ac:dyDescent="0.25">
      <c r="B20" s="79" t="s">
        <v>469</v>
      </c>
      <c r="C20" s="73">
        <v>1</v>
      </c>
      <c r="D20" s="29" t="s">
        <v>113</v>
      </c>
      <c r="E20" s="29" t="s">
        <v>444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M16x80-HDG-8.8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202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2366</v>
      </c>
      <c r="CG20">
        <f t="shared" si="38"/>
        <v>234</v>
      </c>
      <c r="CI20" t="s">
        <v>470</v>
      </c>
      <c r="CJ20" s="180">
        <f t="shared" si="39"/>
        <v>0</v>
      </c>
      <c r="CK20" s="181"/>
      <c r="CL20" s="181"/>
      <c r="CM20" s="181"/>
      <c r="CO20" t="s">
        <v>471</v>
      </c>
      <c r="CP20" s="180">
        <f t="shared" si="40"/>
        <v>0</v>
      </c>
      <c r="CQ20" s="181"/>
      <c r="CR20" s="181"/>
      <c r="CS20" s="181"/>
      <c r="CU20" t="s">
        <v>472</v>
      </c>
      <c r="CV20" s="180">
        <f t="shared" si="41"/>
        <v>0</v>
      </c>
      <c r="CW20" s="181"/>
      <c r="CX20" s="181"/>
      <c r="CY20" s="181"/>
      <c r="DA20" t="s">
        <v>473</v>
      </c>
      <c r="DB20" s="180">
        <f t="shared" si="42"/>
        <v>0</v>
      </c>
      <c r="DC20" s="181"/>
      <c r="DD20" s="181"/>
      <c r="DE20" s="181"/>
    </row>
    <row r="21" spans="1:109" x14ac:dyDescent="0.25">
      <c r="B21" s="79" t="s">
        <v>474</v>
      </c>
      <c r="C21" s="73">
        <v>1</v>
      </c>
      <c r="D21" s="29" t="s">
        <v>113</v>
      </c>
      <c r="E21" s="29" t="s">
        <v>444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M20x80-HDG-8.8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475</v>
      </c>
      <c r="CJ21" s="180">
        <f t="shared" si="39"/>
        <v>0</v>
      </c>
      <c r="CK21" s="181"/>
      <c r="CL21" s="181"/>
      <c r="CM21" s="181"/>
      <c r="CO21" t="s">
        <v>476</v>
      </c>
      <c r="CP21" s="180">
        <f t="shared" si="40"/>
        <v>0</v>
      </c>
      <c r="CQ21" s="181"/>
      <c r="CR21" s="181"/>
      <c r="CS21" s="181"/>
      <c r="CU21" t="s">
        <v>477</v>
      </c>
      <c r="CV21" s="180">
        <f t="shared" si="41"/>
        <v>0</v>
      </c>
      <c r="CW21" s="181"/>
      <c r="CX21" s="181"/>
      <c r="CY21" s="181"/>
      <c r="DA21" t="s">
        <v>478</v>
      </c>
      <c r="DB21" s="180">
        <f t="shared" si="42"/>
        <v>0</v>
      </c>
      <c r="DC21" s="181"/>
      <c r="DD21" s="181"/>
      <c r="DE21" s="181"/>
    </row>
    <row r="22" spans="1:109" x14ac:dyDescent="0.25">
      <c r="B22" s="79" t="s">
        <v>479</v>
      </c>
      <c r="C22" s="73">
        <v>1</v>
      </c>
      <c r="D22" s="29" t="s">
        <v>113</v>
      </c>
      <c r="E22" s="29" t="s">
        <v>444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M20x80-HDG-8.8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480</v>
      </c>
      <c r="CJ22" s="180">
        <f t="shared" si="39"/>
        <v>0</v>
      </c>
      <c r="CK22" s="181"/>
      <c r="CL22" s="181"/>
      <c r="CM22" s="181"/>
      <c r="CO22" t="s">
        <v>481</v>
      </c>
      <c r="CP22" s="180">
        <f t="shared" si="40"/>
        <v>0</v>
      </c>
      <c r="CQ22" s="181"/>
      <c r="CR22" s="181"/>
      <c r="CS22" s="181"/>
      <c r="CU22" t="s">
        <v>482</v>
      </c>
      <c r="CV22" s="180">
        <f t="shared" si="41"/>
        <v>0</v>
      </c>
      <c r="CW22" s="181"/>
      <c r="CX22" s="181"/>
      <c r="CY22" s="181"/>
      <c r="DA22" t="s">
        <v>483</v>
      </c>
      <c r="DB22" s="180">
        <f t="shared" si="42"/>
        <v>0</v>
      </c>
      <c r="DC22" s="181"/>
      <c r="DD22" s="181"/>
      <c r="DE22" s="181"/>
    </row>
    <row r="23" spans="1:109" x14ac:dyDescent="0.25">
      <c r="B23" s="79" t="s">
        <v>484</v>
      </c>
      <c r="C23" s="73">
        <v>1</v>
      </c>
      <c r="D23" s="29" t="s">
        <v>485</v>
      </c>
      <c r="E23" s="29" t="s">
        <v>444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M16-STUDx140-HDG-8.8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486</v>
      </c>
      <c r="CJ23" s="180">
        <f t="shared" si="39"/>
        <v>0</v>
      </c>
      <c r="CK23" s="181"/>
      <c r="CL23" s="181"/>
      <c r="CM23" s="181"/>
      <c r="CO23" t="s">
        <v>487</v>
      </c>
      <c r="CP23" s="180">
        <f t="shared" si="40"/>
        <v>2</v>
      </c>
      <c r="CQ23" s="181"/>
      <c r="CR23" s="181"/>
      <c r="CS23" s="181"/>
      <c r="CU23" t="s">
        <v>488</v>
      </c>
      <c r="CV23" s="180">
        <f t="shared" si="41"/>
        <v>0</v>
      </c>
      <c r="CW23" s="181"/>
      <c r="CX23" s="181"/>
      <c r="CY23" s="181"/>
      <c r="DA23" t="s">
        <v>489</v>
      </c>
      <c r="DB23" s="180">
        <f t="shared" si="42"/>
        <v>0</v>
      </c>
      <c r="DC23" s="181"/>
      <c r="DD23" s="181"/>
      <c r="DE23" s="181"/>
    </row>
    <row r="24" spans="1:109" x14ac:dyDescent="0.25">
      <c r="B24" s="79" t="s">
        <v>490</v>
      </c>
      <c r="C24" s="73">
        <v>1</v>
      </c>
      <c r="D24" s="29" t="s">
        <v>485</v>
      </c>
      <c r="E24" s="29" t="s">
        <v>444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M16-STUDx140-HDG-8.8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491</v>
      </c>
      <c r="CJ24" s="180">
        <f t="shared" si="39"/>
        <v>0</v>
      </c>
      <c r="CK24" s="181"/>
      <c r="CL24" s="181"/>
      <c r="CM24" s="181"/>
      <c r="CO24" t="s">
        <v>492</v>
      </c>
      <c r="CP24" s="180">
        <f t="shared" si="40"/>
        <v>0</v>
      </c>
      <c r="CQ24" s="181"/>
      <c r="CR24" s="181"/>
      <c r="CS24" s="181"/>
      <c r="CU24" t="s">
        <v>493</v>
      </c>
      <c r="CV24" s="180">
        <f t="shared" si="41"/>
        <v>0</v>
      </c>
      <c r="CW24" s="181"/>
      <c r="CX24" s="181"/>
      <c r="CY24" s="181"/>
      <c r="DA24" t="s">
        <v>494</v>
      </c>
      <c r="DB24" s="180">
        <f t="shared" si="42"/>
        <v>0</v>
      </c>
      <c r="DC24" s="181"/>
      <c r="DD24" s="181"/>
      <c r="DE24" s="181"/>
    </row>
    <row r="25" spans="1:109" x14ac:dyDescent="0.25">
      <c r="B25" s="79" t="s">
        <v>495</v>
      </c>
      <c r="C25" s="73">
        <v>1</v>
      </c>
      <c r="D25" s="29" t="s">
        <v>485</v>
      </c>
      <c r="E25" s="29" t="s">
        <v>444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M16-STUDx150-HDG-8.8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496</v>
      </c>
      <c r="CJ25" s="180">
        <f t="shared" si="39"/>
        <v>0</v>
      </c>
      <c r="CK25" s="181"/>
      <c r="CL25" s="181"/>
      <c r="CM25" s="181"/>
      <c r="CO25" t="s">
        <v>497</v>
      </c>
      <c r="CP25" s="180">
        <f t="shared" si="40"/>
        <v>0</v>
      </c>
      <c r="CQ25" s="181"/>
      <c r="CR25" s="181"/>
      <c r="CS25" s="181"/>
      <c r="CU25" t="s">
        <v>498</v>
      </c>
      <c r="CV25" s="180">
        <f t="shared" si="41"/>
        <v>0</v>
      </c>
      <c r="CW25" s="181"/>
      <c r="CX25" s="181"/>
      <c r="CY25" s="181"/>
      <c r="DA25" t="s">
        <v>499</v>
      </c>
      <c r="DB25" s="180">
        <f t="shared" si="42"/>
        <v>0</v>
      </c>
      <c r="DC25" s="181"/>
      <c r="DD25" s="181"/>
      <c r="DE25" s="181"/>
    </row>
    <row r="26" spans="1:109" x14ac:dyDescent="0.25">
      <c r="B26" s="79" t="s">
        <v>500</v>
      </c>
      <c r="C26" s="73">
        <v>1</v>
      </c>
      <c r="D26" s="29" t="s">
        <v>485</v>
      </c>
      <c r="E26" s="29" t="s">
        <v>444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M20-STUDx160-HDG-8.8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501</v>
      </c>
      <c r="CJ26" s="180">
        <f t="shared" si="39"/>
        <v>0</v>
      </c>
      <c r="CK26" s="181"/>
      <c r="CL26" s="181"/>
      <c r="CM26" s="181"/>
      <c r="CO26" t="s">
        <v>502</v>
      </c>
      <c r="CP26" s="180">
        <f t="shared" si="40"/>
        <v>0</v>
      </c>
      <c r="CQ26" s="181"/>
      <c r="CR26" s="181"/>
      <c r="CS26" s="181"/>
      <c r="CU26" t="s">
        <v>503</v>
      </c>
      <c r="CV26" s="180">
        <f t="shared" si="41"/>
        <v>0</v>
      </c>
      <c r="CW26" s="181"/>
      <c r="CX26" s="181"/>
      <c r="CY26" s="181"/>
      <c r="DA26" t="s">
        <v>504</v>
      </c>
      <c r="DB26" s="180">
        <f t="shared" si="42"/>
        <v>0</v>
      </c>
      <c r="DC26" s="181"/>
      <c r="DD26" s="181"/>
      <c r="DE26" s="181"/>
    </row>
    <row r="27" spans="1:109" x14ac:dyDescent="0.25">
      <c r="B27" s="79" t="s">
        <v>505</v>
      </c>
      <c r="C27" s="73">
        <v>1</v>
      </c>
      <c r="D27" s="29" t="s">
        <v>485</v>
      </c>
      <c r="E27" s="29" t="s">
        <v>444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M20-STUDx160-HDG-8.8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506</v>
      </c>
      <c r="CJ27" s="180">
        <f t="shared" si="39"/>
        <v>0</v>
      </c>
      <c r="CK27" s="181"/>
      <c r="CL27" s="181"/>
      <c r="CM27" s="181"/>
      <c r="CO27" t="s">
        <v>507</v>
      </c>
      <c r="CP27" s="180">
        <f t="shared" si="40"/>
        <v>0</v>
      </c>
      <c r="CQ27" s="181"/>
      <c r="CR27" s="181"/>
      <c r="CS27" s="181"/>
      <c r="CU27" t="s">
        <v>508</v>
      </c>
      <c r="CV27" s="180">
        <f t="shared" si="41"/>
        <v>0</v>
      </c>
      <c r="CW27" s="181"/>
      <c r="CX27" s="181"/>
      <c r="CY27" s="181"/>
      <c r="DA27" t="s">
        <v>509</v>
      </c>
      <c r="DB27" s="180">
        <f t="shared" si="42"/>
        <v>0</v>
      </c>
      <c r="DC27" s="181"/>
      <c r="DD27" s="181"/>
      <c r="DE27" s="181"/>
    </row>
    <row r="28" spans="1:109" x14ac:dyDescent="0.25">
      <c r="B28" s="134" t="s">
        <v>510</v>
      </c>
      <c r="C28" s="73">
        <v>1</v>
      </c>
      <c r="D28" s="29" t="s">
        <v>113</v>
      </c>
      <c r="E28" s="29" t="s">
        <v>444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M12x50-HDG-8.8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511</v>
      </c>
      <c r="CJ28" s="180">
        <f t="shared" si="39"/>
        <v>0</v>
      </c>
      <c r="CK28" s="181"/>
      <c r="CL28" s="181"/>
      <c r="CM28" s="181"/>
      <c r="CO28" t="s">
        <v>512</v>
      </c>
      <c r="CP28" s="180">
        <f t="shared" si="40"/>
        <v>0</v>
      </c>
      <c r="CQ28" s="181"/>
      <c r="CR28" s="181"/>
      <c r="CS28" s="181"/>
      <c r="CU28" t="s">
        <v>513</v>
      </c>
      <c r="CV28" s="180">
        <f t="shared" si="41"/>
        <v>0</v>
      </c>
      <c r="CW28" s="181"/>
      <c r="CX28" s="181"/>
      <c r="CY28" s="181"/>
      <c r="DA28" t="s">
        <v>514</v>
      </c>
      <c r="DB28" s="180">
        <f t="shared" si="42"/>
        <v>0</v>
      </c>
      <c r="DC28" s="181"/>
      <c r="DD28" s="181"/>
      <c r="DE28" s="181"/>
    </row>
    <row r="29" spans="1:109" x14ac:dyDescent="0.25">
      <c r="B29" s="79" t="s">
        <v>515</v>
      </c>
      <c r="C29" s="73">
        <v>1</v>
      </c>
      <c r="D29" s="29" t="s">
        <v>113</v>
      </c>
      <c r="E29" s="29" t="s">
        <v>444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M16x60-HDG-8.8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516</v>
      </c>
      <c r="CJ29" s="180">
        <f t="shared" si="39"/>
        <v>0</v>
      </c>
      <c r="CK29" s="181"/>
      <c r="CL29" s="181"/>
      <c r="CM29" s="181"/>
      <c r="CO29" t="s">
        <v>517</v>
      </c>
      <c r="CP29" s="180">
        <f t="shared" si="40"/>
        <v>0</v>
      </c>
      <c r="CQ29" s="181"/>
      <c r="CR29" s="181"/>
      <c r="CS29" s="181"/>
      <c r="CV29" s="180">
        <f>SUM(CV14:CY28)</f>
        <v>0</v>
      </c>
      <c r="CW29" s="181"/>
      <c r="CX29" s="181"/>
      <c r="CY29" s="181"/>
      <c r="DB29" s="180">
        <f>SUM(DB14:DE28)</f>
        <v>0</v>
      </c>
      <c r="DC29" s="181"/>
      <c r="DD29" s="181"/>
      <c r="DE29" s="181"/>
    </row>
    <row r="30" spans="1:109" x14ac:dyDescent="0.25">
      <c r="A30" s="157"/>
      <c r="B30" s="135" t="s">
        <v>518</v>
      </c>
      <c r="C30" s="73">
        <v>1</v>
      </c>
      <c r="D30" s="29" t="s">
        <v>113</v>
      </c>
      <c r="E30" s="29" t="s">
        <v>444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M16x70-HDG-8.8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519</v>
      </c>
      <c r="CJ30" s="180">
        <f t="shared" si="39"/>
        <v>0</v>
      </c>
      <c r="CK30" s="181"/>
      <c r="CL30" s="181"/>
      <c r="CM30" s="181"/>
      <c r="CO30" t="s">
        <v>520</v>
      </c>
      <c r="CP30" s="180">
        <f t="shared" si="40"/>
        <v>0</v>
      </c>
      <c r="CQ30" s="181"/>
      <c r="CR30" s="181"/>
      <c r="CS30" s="181"/>
      <c r="CV30" s="180"/>
      <c r="CW30" s="181"/>
      <c r="CX30" s="181"/>
      <c r="CY30" s="181"/>
      <c r="DB30" s="180"/>
      <c r="DC30" s="181"/>
      <c r="DD30" s="181"/>
      <c r="DE30" s="181"/>
    </row>
    <row r="31" spans="1:109" x14ac:dyDescent="0.25">
      <c r="B31" s="79" t="s">
        <v>521</v>
      </c>
      <c r="C31" s="73">
        <v>1</v>
      </c>
      <c r="D31" s="29" t="s">
        <v>113</v>
      </c>
      <c r="E31" s="29" t="s">
        <v>444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M16x70-HDG-8.8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522</v>
      </c>
      <c r="CJ31" s="180">
        <f t="shared" si="39"/>
        <v>0</v>
      </c>
      <c r="CK31" s="181"/>
      <c r="CL31" s="181"/>
      <c r="CM31" s="181"/>
      <c r="CO31" t="s">
        <v>523</v>
      </c>
      <c r="CP31" s="180">
        <f t="shared" si="40"/>
        <v>0</v>
      </c>
      <c r="CQ31" s="181"/>
      <c r="CR31" s="181"/>
      <c r="CS31" s="181"/>
    </row>
    <row r="32" spans="1:109" x14ac:dyDescent="0.25">
      <c r="B32" s="79" t="s">
        <v>524</v>
      </c>
      <c r="C32" s="73">
        <v>1</v>
      </c>
      <c r="D32" s="29" t="s">
        <v>113</v>
      </c>
      <c r="E32" s="29" t="s">
        <v>444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M20x80-HDG-8.8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525</v>
      </c>
      <c r="CJ32" s="180">
        <f t="shared" si="39"/>
        <v>0</v>
      </c>
      <c r="CK32" s="181"/>
      <c r="CL32" s="181"/>
      <c r="CM32" s="181"/>
      <c r="CO32" t="s">
        <v>526</v>
      </c>
      <c r="CP32" s="180">
        <f t="shared" si="40"/>
        <v>0</v>
      </c>
      <c r="CQ32" s="181"/>
      <c r="CR32" s="181"/>
      <c r="CS32" s="181"/>
    </row>
    <row r="33" spans="1:104" x14ac:dyDescent="0.25">
      <c r="B33" s="79" t="s">
        <v>527</v>
      </c>
      <c r="C33" s="73">
        <v>1</v>
      </c>
      <c r="D33" s="29" t="s">
        <v>113</v>
      </c>
      <c r="E33" s="29" t="s">
        <v>444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M20x80-HDG-8.8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528</v>
      </c>
      <c r="CJ33" s="180">
        <f t="shared" si="39"/>
        <v>0</v>
      </c>
      <c r="CK33" s="181"/>
      <c r="CL33" s="181"/>
      <c r="CM33" s="181"/>
      <c r="CO33" t="s">
        <v>529</v>
      </c>
      <c r="CP33" s="180">
        <f t="shared" si="40"/>
        <v>0</v>
      </c>
      <c r="CQ33" s="181"/>
      <c r="CR33" s="181"/>
      <c r="CS33" s="181"/>
    </row>
    <row r="34" spans="1:104" x14ac:dyDescent="0.25">
      <c r="B34" s="79" t="s">
        <v>530</v>
      </c>
      <c r="C34" s="73">
        <v>1</v>
      </c>
      <c r="D34" s="29" t="s">
        <v>113</v>
      </c>
      <c r="E34" s="29" t="s">
        <v>444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M20x90-HDG-8.8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531</v>
      </c>
      <c r="CJ34" s="180">
        <f t="shared" si="39"/>
        <v>0</v>
      </c>
      <c r="CK34" s="181"/>
      <c r="CL34" s="181"/>
      <c r="CM34" s="181"/>
      <c r="CO34" t="s">
        <v>532</v>
      </c>
      <c r="CP34" s="180">
        <f t="shared" si="40"/>
        <v>0</v>
      </c>
      <c r="CQ34" s="181"/>
      <c r="CR34" s="181"/>
      <c r="CS34" s="181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533</v>
      </c>
      <c r="CJ35" s="180">
        <f t="shared" si="39"/>
        <v>0</v>
      </c>
      <c r="CK35" s="181"/>
      <c r="CL35" s="181"/>
      <c r="CM35" s="181"/>
      <c r="CO35" t="s">
        <v>534</v>
      </c>
      <c r="CP35" s="180">
        <f t="shared" si="40"/>
        <v>0</v>
      </c>
      <c r="CQ35" s="181"/>
      <c r="CR35" s="181"/>
      <c r="CS35" s="181"/>
    </row>
    <row r="36" spans="1:104" x14ac:dyDescent="0.25">
      <c r="A36" s="59"/>
      <c r="B36" s="121" t="s">
        <v>413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535</v>
      </c>
      <c r="CJ36" s="180">
        <f t="shared" si="39"/>
        <v>0</v>
      </c>
      <c r="CK36" s="181"/>
      <c r="CL36" s="181"/>
      <c r="CM36" s="181"/>
      <c r="CO36" t="s">
        <v>536</v>
      </c>
      <c r="CP36" s="180">
        <f t="shared" si="40"/>
        <v>0</v>
      </c>
      <c r="CQ36" s="181"/>
      <c r="CR36" s="181"/>
      <c r="CS36" s="181"/>
    </row>
    <row r="37" spans="1:104" x14ac:dyDescent="0.25">
      <c r="B37" s="79" t="s">
        <v>537</v>
      </c>
      <c r="C37" s="73">
        <v>125</v>
      </c>
      <c r="D37" s="29" t="s">
        <v>384</v>
      </c>
      <c r="E37" s="29" t="s">
        <v>538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M24x100-HDG-8.8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539</v>
      </c>
      <c r="CJ37" s="180">
        <f t="shared" si="39"/>
        <v>0</v>
      </c>
      <c r="CK37" s="181"/>
      <c r="CL37" s="181"/>
      <c r="CM37" s="181"/>
      <c r="CO37" t="s">
        <v>540</v>
      </c>
      <c r="CP37" s="180">
        <f t="shared" si="40"/>
        <v>0</v>
      </c>
      <c r="CQ37" s="181"/>
      <c r="CR37" s="181"/>
      <c r="CS37" s="181"/>
    </row>
    <row r="38" spans="1:104" x14ac:dyDescent="0.25">
      <c r="B38" s="79" t="s">
        <v>541</v>
      </c>
      <c r="C38" s="73">
        <v>4</v>
      </c>
      <c r="D38" s="29" t="s">
        <v>387</v>
      </c>
      <c r="E38" s="149" t="s">
        <v>542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M20x90-HDG-8.8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543</v>
      </c>
      <c r="CJ38" s="180">
        <f t="shared" si="39"/>
        <v>0</v>
      </c>
      <c r="CK38" s="181"/>
      <c r="CL38" s="181"/>
      <c r="CM38" s="181"/>
      <c r="CO38" t="s">
        <v>544</v>
      </c>
      <c r="CP38" s="180">
        <f t="shared" si="40"/>
        <v>0</v>
      </c>
      <c r="CQ38" s="181"/>
      <c r="CR38" s="181"/>
      <c r="CS38" s="181"/>
    </row>
    <row r="39" spans="1:104" x14ac:dyDescent="0.25">
      <c r="B39" s="189" t="s">
        <v>545</v>
      </c>
      <c r="C39" s="73" t="s">
        <v>546</v>
      </c>
      <c r="D39" s="29" t="s">
        <v>113</v>
      </c>
      <c r="E39" s="29" t="s">
        <v>547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M12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20.8</v>
      </c>
      <c r="K39" s="29">
        <f>SUM(G39:J39)</f>
        <v>57.8</v>
      </c>
      <c r="L39" s="29">
        <f>CEILING(K39, 10)</f>
        <v>60</v>
      </c>
      <c r="M39" s="78" t="str">
        <f>(CONCATENATE(F39,"x",L39,"-",IF(F39=$K$1,$C$4,IF(F39=$L$1,$C$4,IF(F39=$M$1,$C$4,IF(F39=$N$1,$C$4,IF(F39=$O$1,$C$4,IF(F39=$P$1,$C$5,IF(F39=$Q$1,$C$5,IF(F39=$R$1,$C$5,IF(F39=$S$1,$C$5,0)))))))))))</f>
        <v>M12x60-HDG-8.8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24</v>
      </c>
      <c r="O39" s="29">
        <f t="shared" si="51"/>
        <v>24</v>
      </c>
      <c r="P39" s="29">
        <v>0</v>
      </c>
      <c r="Q39" s="29">
        <f>N39*2</f>
        <v>48</v>
      </c>
      <c r="R39" s="29">
        <f t="shared" ref="R39:R45" si="52">N39*0</f>
        <v>0</v>
      </c>
      <c r="S39" s="83" t="s">
        <v>548</v>
      </c>
      <c r="CI39" t="s">
        <v>549</v>
      </c>
      <c r="CJ39" s="180">
        <f t="shared" si="39"/>
        <v>0</v>
      </c>
      <c r="CK39" s="181"/>
      <c r="CL39" s="181"/>
      <c r="CM39" s="181"/>
      <c r="CO39" t="s">
        <v>550</v>
      </c>
      <c r="CP39" s="180">
        <f t="shared" si="40"/>
        <v>0</v>
      </c>
      <c r="CQ39" s="181"/>
      <c r="CR39" s="181"/>
      <c r="CS39" s="181"/>
    </row>
    <row r="40" spans="1:104" x14ac:dyDescent="0.25">
      <c r="B40" s="181"/>
      <c r="C40" s="73">
        <v>500</v>
      </c>
      <c r="D40" s="29" t="s">
        <v>113</v>
      </c>
      <c r="E40" s="29" t="s">
        <v>547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M12x50-HDG-8.8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22</v>
      </c>
      <c r="O40" s="29">
        <f t="shared" si="51"/>
        <v>22</v>
      </c>
      <c r="P40" s="29">
        <v>0</v>
      </c>
      <c r="Q40" s="86">
        <f>N40*2</f>
        <v>44</v>
      </c>
      <c r="R40" s="29">
        <f t="shared" si="52"/>
        <v>0</v>
      </c>
      <c r="S40" s="83" t="s">
        <v>551</v>
      </c>
      <c r="CI40" t="s">
        <v>552</v>
      </c>
      <c r="CJ40" s="180">
        <f t="shared" si="39"/>
        <v>0</v>
      </c>
      <c r="CK40" s="181"/>
      <c r="CL40" s="181"/>
      <c r="CM40" s="181"/>
      <c r="CO40" t="s">
        <v>553</v>
      </c>
      <c r="CP40" s="180">
        <f t="shared" si="40"/>
        <v>0</v>
      </c>
      <c r="CQ40" s="181"/>
      <c r="CR40" s="181"/>
      <c r="CS40" s="181"/>
    </row>
    <row r="41" spans="1:104" x14ac:dyDescent="0.25">
      <c r="B41" s="181"/>
      <c r="C41" s="73" t="s">
        <v>554</v>
      </c>
      <c r="D41" s="29" t="s">
        <v>393</v>
      </c>
      <c r="E41" s="29" t="s">
        <v>547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83"/>
      <c r="H41" s="181"/>
      <c r="I41" s="181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M12-STUDx85-HDG-8.8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555</v>
      </c>
      <c r="CI41" t="s">
        <v>556</v>
      </c>
      <c r="CJ41" s="180">
        <f t="shared" si="39"/>
        <v>0</v>
      </c>
      <c r="CK41" s="181"/>
      <c r="CL41" s="181"/>
      <c r="CM41" s="181"/>
      <c r="CO41" t="s">
        <v>557</v>
      </c>
      <c r="CP41" s="180">
        <f t="shared" si="40"/>
        <v>0</v>
      </c>
      <c r="CQ41" s="181"/>
      <c r="CR41" s="181"/>
      <c r="CS41" s="181"/>
    </row>
    <row r="42" spans="1:104" x14ac:dyDescent="0.25">
      <c r="B42" s="181"/>
      <c r="C42" s="73" t="s">
        <v>558</v>
      </c>
      <c r="D42" s="29" t="s">
        <v>113</v>
      </c>
      <c r="E42" s="29" t="s">
        <v>547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M16x60-HDG-8.8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559</v>
      </c>
      <c r="CI42" t="s">
        <v>560</v>
      </c>
      <c r="CJ42" s="180">
        <f t="shared" si="39"/>
        <v>0</v>
      </c>
      <c r="CK42" s="181"/>
      <c r="CL42" s="181"/>
      <c r="CM42" s="181"/>
      <c r="CO42" t="s">
        <v>561</v>
      </c>
      <c r="CP42" s="180">
        <f t="shared" si="40"/>
        <v>0</v>
      </c>
      <c r="CQ42" s="181"/>
      <c r="CR42" s="181"/>
      <c r="CS42" s="181"/>
    </row>
    <row r="43" spans="1:104" x14ac:dyDescent="0.25">
      <c r="B43" s="189" t="s">
        <v>562</v>
      </c>
      <c r="C43" s="73" t="s">
        <v>563</v>
      </c>
      <c r="D43" s="29" t="s">
        <v>113</v>
      </c>
      <c r="E43" s="29" t="s">
        <v>564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M16x70-HDG-8.8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548</v>
      </c>
      <c r="CI43" t="s">
        <v>565</v>
      </c>
      <c r="CJ43" s="180">
        <f t="shared" si="39"/>
        <v>0</v>
      </c>
      <c r="CK43" s="181"/>
      <c r="CL43" s="181"/>
      <c r="CM43" s="181"/>
      <c r="CO43" t="s">
        <v>566</v>
      </c>
      <c r="CP43" s="180">
        <f t="shared" si="40"/>
        <v>0</v>
      </c>
      <c r="CQ43" s="181"/>
      <c r="CR43" s="181"/>
      <c r="CS43" s="181"/>
    </row>
    <row r="44" spans="1:104" x14ac:dyDescent="0.25">
      <c r="B44" s="181"/>
      <c r="C44" s="73">
        <v>600</v>
      </c>
      <c r="D44" s="29" t="s">
        <v>113</v>
      </c>
      <c r="E44" s="29" t="s">
        <v>564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M12x60-HDG-8.8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567</v>
      </c>
      <c r="CI44" t="s">
        <v>568</v>
      </c>
      <c r="CJ44" s="180">
        <f t="shared" si="39"/>
        <v>0</v>
      </c>
      <c r="CK44" s="181"/>
      <c r="CL44" s="181"/>
      <c r="CM44" s="181"/>
      <c r="CO44" t="s">
        <v>569</v>
      </c>
      <c r="CP44" s="180">
        <f t="shared" si="40"/>
        <v>0</v>
      </c>
      <c r="CQ44" s="181"/>
      <c r="CR44" s="181"/>
      <c r="CS44" s="181"/>
    </row>
    <row r="45" spans="1:104" x14ac:dyDescent="0.25">
      <c r="B45" s="181"/>
      <c r="C45" s="73" t="s">
        <v>570</v>
      </c>
      <c r="D45" s="29" t="s">
        <v>393</v>
      </c>
      <c r="E45" s="29" t="s">
        <v>564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83"/>
      <c r="H45" s="181"/>
      <c r="I45" s="181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M16-STUDx75-HDG-8.8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555</v>
      </c>
      <c r="CI45" t="s">
        <v>571</v>
      </c>
      <c r="CJ45" s="180">
        <f t="shared" si="39"/>
        <v>0</v>
      </c>
      <c r="CK45" s="181"/>
      <c r="CL45" s="181"/>
      <c r="CM45" s="181"/>
      <c r="CO45" t="s">
        <v>572</v>
      </c>
      <c r="CP45" s="180">
        <f t="shared" si="40"/>
        <v>0</v>
      </c>
      <c r="CQ45" s="181"/>
      <c r="CR45" s="181"/>
      <c r="CS45" s="181"/>
      <c r="CZ45">
        <f>SUM(CL52+CV29+DB29+CR52)</f>
        <v>2</v>
      </c>
    </row>
    <row r="46" spans="1:104" x14ac:dyDescent="0.25">
      <c r="B46" s="181"/>
      <c r="C46" s="73" t="s">
        <v>563</v>
      </c>
      <c r="D46" s="29" t="s">
        <v>113</v>
      </c>
      <c r="E46" s="29" t="s">
        <v>564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M16x75-HDG-8.8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573</v>
      </c>
      <c r="CI46" t="s">
        <v>574</v>
      </c>
      <c r="CJ46" s="180">
        <f t="shared" si="39"/>
        <v>0</v>
      </c>
      <c r="CK46" s="181"/>
      <c r="CL46" s="181"/>
      <c r="CM46" s="181"/>
      <c r="CO46" t="s">
        <v>575</v>
      </c>
      <c r="CP46" s="180">
        <f t="shared" si="40"/>
        <v>0</v>
      </c>
      <c r="CQ46" s="181"/>
      <c r="CR46" s="181"/>
      <c r="CS46" s="181"/>
    </row>
    <row r="47" spans="1:104" x14ac:dyDescent="0.25">
      <c r="B47" s="181"/>
      <c r="C47" s="73" t="s">
        <v>558</v>
      </c>
      <c r="D47" s="29" t="s">
        <v>113</v>
      </c>
      <c r="E47" s="29" t="s">
        <v>564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M16x60-HDG-8.8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559</v>
      </c>
      <c r="CI47" t="s">
        <v>576</v>
      </c>
      <c r="CJ47" s="180">
        <f t="shared" si="39"/>
        <v>0</v>
      </c>
      <c r="CK47" s="181"/>
      <c r="CL47" s="181"/>
      <c r="CM47" s="181"/>
      <c r="CO47" t="s">
        <v>577</v>
      </c>
      <c r="CP47" s="180">
        <f t="shared" si="40"/>
        <v>0</v>
      </c>
      <c r="CQ47" s="181"/>
      <c r="CR47" s="181"/>
      <c r="CS47" s="181"/>
    </row>
    <row r="48" spans="1:104" x14ac:dyDescent="0.25">
      <c r="B48" s="189" t="s">
        <v>578</v>
      </c>
      <c r="C48" s="73" t="s">
        <v>546</v>
      </c>
      <c r="D48" s="29" t="s">
        <v>113</v>
      </c>
      <c r="E48" s="29" t="s">
        <v>547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M12x60-HDG-8.8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548</v>
      </c>
      <c r="CI48" t="s">
        <v>579</v>
      </c>
      <c r="CJ48" s="180">
        <f t="shared" si="39"/>
        <v>0</v>
      </c>
      <c r="CK48" s="181"/>
      <c r="CL48" s="181"/>
      <c r="CM48" s="181"/>
      <c r="CO48" t="s">
        <v>580</v>
      </c>
      <c r="CP48" s="180">
        <f t="shared" si="40"/>
        <v>0</v>
      </c>
      <c r="CQ48" s="181"/>
      <c r="CR48" s="181"/>
      <c r="CS48" s="181"/>
      <c r="CZ48">
        <f>SUM(N15:N243)</f>
        <v>3538</v>
      </c>
    </row>
    <row r="49" spans="2:97" x14ac:dyDescent="0.25">
      <c r="B49" s="181"/>
      <c r="C49" s="73">
        <v>600</v>
      </c>
      <c r="D49" s="29" t="s">
        <v>113</v>
      </c>
      <c r="E49" s="29" t="s">
        <v>547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M12x60-HDG-8.8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567</v>
      </c>
      <c r="CI49" t="s">
        <v>581</v>
      </c>
      <c r="CJ49" s="180">
        <f t="shared" si="39"/>
        <v>0</v>
      </c>
      <c r="CK49" s="181"/>
      <c r="CL49" s="181"/>
      <c r="CM49" s="181"/>
      <c r="CO49" t="s">
        <v>582</v>
      </c>
      <c r="CP49" s="180">
        <f t="shared" si="40"/>
        <v>0</v>
      </c>
      <c r="CQ49" s="181"/>
      <c r="CR49" s="181"/>
      <c r="CS49" s="181"/>
    </row>
    <row r="50" spans="2:97" x14ac:dyDescent="0.25">
      <c r="B50" s="181"/>
      <c r="C50" s="73" t="s">
        <v>583</v>
      </c>
      <c r="D50" s="29" t="s">
        <v>393</v>
      </c>
      <c r="E50" s="29" t="s">
        <v>547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83"/>
      <c r="H50" s="181"/>
      <c r="I50" s="181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M10-STUDx75-HDG-8.8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555</v>
      </c>
    </row>
    <row r="51" spans="2:97" x14ac:dyDescent="0.25">
      <c r="B51" s="181"/>
      <c r="C51" s="73" t="s">
        <v>558</v>
      </c>
      <c r="D51" s="29" t="s">
        <v>113</v>
      </c>
      <c r="E51" s="29" t="s">
        <v>547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M16x60-HDG-8.8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559</v>
      </c>
    </row>
    <row r="52" spans="2:97" x14ac:dyDescent="0.25">
      <c r="B52" s="189" t="s">
        <v>584</v>
      </c>
      <c r="C52" s="73" t="s">
        <v>546</v>
      </c>
      <c r="D52" s="29" t="s">
        <v>113</v>
      </c>
      <c r="E52" s="29" t="s">
        <v>564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M12x60-HDG-8.8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548</v>
      </c>
      <c r="CL52">
        <f>SUM(CJ14:CM48)</f>
        <v>0</v>
      </c>
      <c r="CR52">
        <f>SUM(CP14:CS49)</f>
        <v>2</v>
      </c>
    </row>
    <row r="53" spans="2:97" x14ac:dyDescent="0.25">
      <c r="B53" s="181"/>
      <c r="C53" s="73">
        <v>600</v>
      </c>
      <c r="D53" s="29" t="s">
        <v>113</v>
      </c>
      <c r="E53" s="29" t="s">
        <v>564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M12x60-HDG-8.8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567</v>
      </c>
    </row>
    <row r="54" spans="2:97" x14ac:dyDescent="0.25">
      <c r="B54" s="181"/>
      <c r="C54" s="73" t="s">
        <v>583</v>
      </c>
      <c r="D54" s="29" t="s">
        <v>393</v>
      </c>
      <c r="E54" s="29" t="s">
        <v>564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83"/>
      <c r="H54" s="181"/>
      <c r="I54" s="181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M10-STUDx75-HDG-8.8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555</v>
      </c>
    </row>
    <row r="55" spans="2:97" x14ac:dyDescent="0.25">
      <c r="B55" s="181"/>
      <c r="C55" s="73" t="s">
        <v>546</v>
      </c>
      <c r="D55" s="29" t="s">
        <v>113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M12x75-HDG-8.8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573</v>
      </c>
    </row>
    <row r="56" spans="2:97" x14ac:dyDescent="0.25">
      <c r="B56" s="181"/>
      <c r="C56" s="73" t="s">
        <v>558</v>
      </c>
      <c r="D56" s="29" t="s">
        <v>113</v>
      </c>
      <c r="E56" s="29" t="s">
        <v>564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M16x60-HDG-8.8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559</v>
      </c>
    </row>
    <row r="57" spans="2:97" x14ac:dyDescent="0.25">
      <c r="B57" s="79" t="s">
        <v>585</v>
      </c>
      <c r="C57" s="73" t="s">
        <v>586</v>
      </c>
      <c r="D57" s="29" t="s">
        <v>393</v>
      </c>
      <c r="E57" s="29" t="s">
        <v>587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 t="shared" ref="M57:M65" si="57">(CONCATENATE(F57,"-STUDx",L57,"-",IF(F57=$K$1,$C$4,IF(F57=$L$1,$C$4,IF(F57=$M$1,$C$4,IF(F57=$N$1,$C$4,IF(F57=$O$1,$C$4,IF(F57=$P$1,$C$5,IF(F57=$Q$1,$C$5,IF(F57=$R$1,$C$5,IF(F57=$S$1,$C$5,0)))))))))))</f>
        <v>M12-STUDx60-HDG-8.8</v>
      </c>
      <c r="N57" s="29">
        <f>0</f>
        <v>0</v>
      </c>
      <c r="O57" s="29">
        <f t="shared" ref="O57:O64" si="58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16</v>
      </c>
      <c r="P57" s="29">
        <v>0</v>
      </c>
      <c r="Q57" s="29">
        <f t="shared" ref="Q57:Q64" si="59">O57*1</f>
        <v>16</v>
      </c>
      <c r="R57" s="29">
        <f t="shared" ref="R57:R64" si="60">O57*0</f>
        <v>0</v>
      </c>
    </row>
    <row r="58" spans="2:97" x14ac:dyDescent="0.25">
      <c r="B58" s="79" t="s">
        <v>588</v>
      </c>
      <c r="C58" s="73" t="s">
        <v>589</v>
      </c>
      <c r="D58" s="29" t="s">
        <v>393</v>
      </c>
      <c r="E58" s="29" t="s">
        <v>587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si="57"/>
        <v>M12-STUDx60-HDG-8.8</v>
      </c>
      <c r="N58" s="29">
        <f>0</f>
        <v>0</v>
      </c>
      <c r="O58" s="29">
        <f t="shared" si="58"/>
        <v>16</v>
      </c>
      <c r="P58" s="29">
        <v>0</v>
      </c>
      <c r="Q58" s="29">
        <f t="shared" si="59"/>
        <v>16</v>
      </c>
      <c r="R58" s="29">
        <f t="shared" si="60"/>
        <v>0</v>
      </c>
    </row>
    <row r="59" spans="2:97" x14ac:dyDescent="0.25">
      <c r="B59" s="79" t="s">
        <v>590</v>
      </c>
      <c r="C59" s="73" t="s">
        <v>591</v>
      </c>
      <c r="D59" s="29" t="s">
        <v>393</v>
      </c>
      <c r="E59" s="29" t="s">
        <v>587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57"/>
        <v>M12-STUDx60-HDG-8.8</v>
      </c>
      <c r="N59" s="29">
        <f>0</f>
        <v>0</v>
      </c>
      <c r="O59" s="29">
        <f t="shared" si="58"/>
        <v>32</v>
      </c>
      <c r="P59" s="29">
        <v>0</v>
      </c>
      <c r="Q59" s="29">
        <f t="shared" si="59"/>
        <v>32</v>
      </c>
      <c r="R59" s="29">
        <f t="shared" si="60"/>
        <v>0</v>
      </c>
    </row>
    <row r="60" spans="2:97" x14ac:dyDescent="0.25">
      <c r="B60" s="79" t="s">
        <v>592</v>
      </c>
      <c r="C60" s="73" t="s">
        <v>593</v>
      </c>
      <c r="D60" s="29" t="s">
        <v>393</v>
      </c>
      <c r="E60" s="29" t="s">
        <v>587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57"/>
        <v>M12-STUDx60-HDG-8.8</v>
      </c>
      <c r="N60" s="29">
        <f>0</f>
        <v>0</v>
      </c>
      <c r="O60" s="29">
        <f t="shared" si="58"/>
        <v>28</v>
      </c>
      <c r="P60" s="29">
        <v>0</v>
      </c>
      <c r="Q60" s="29">
        <f t="shared" si="59"/>
        <v>28</v>
      </c>
      <c r="R60" s="29">
        <f t="shared" si="60"/>
        <v>0</v>
      </c>
    </row>
    <row r="61" spans="2:97" x14ac:dyDescent="0.25">
      <c r="B61" s="79" t="s">
        <v>594</v>
      </c>
      <c r="C61" s="73" t="s">
        <v>595</v>
      </c>
      <c r="D61" s="29" t="s">
        <v>393</v>
      </c>
      <c r="E61" s="29" t="s">
        <v>587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57"/>
        <v>M12-STUDx60-HDG-8.8</v>
      </c>
      <c r="N61" s="29">
        <f>0</f>
        <v>0</v>
      </c>
      <c r="O61" s="29">
        <f t="shared" si="58"/>
        <v>38</v>
      </c>
      <c r="P61" s="29">
        <v>0</v>
      </c>
      <c r="Q61" s="29">
        <f t="shared" si="59"/>
        <v>38</v>
      </c>
      <c r="R61" s="29">
        <f t="shared" si="60"/>
        <v>0</v>
      </c>
    </row>
    <row r="62" spans="2:97" x14ac:dyDescent="0.25">
      <c r="B62" s="79" t="s">
        <v>596</v>
      </c>
      <c r="C62" s="73" t="s">
        <v>597</v>
      </c>
      <c r="D62" s="29" t="s">
        <v>393</v>
      </c>
      <c r="E62" s="29" t="s">
        <v>587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57"/>
        <v>M12-STUDx60-HDG-8.8</v>
      </c>
      <c r="N62" s="29">
        <f>0</f>
        <v>0</v>
      </c>
      <c r="O62" s="29">
        <f t="shared" si="58"/>
        <v>32</v>
      </c>
      <c r="P62" s="29">
        <v>0</v>
      </c>
      <c r="Q62" s="29">
        <f t="shared" si="59"/>
        <v>32</v>
      </c>
      <c r="R62" s="29">
        <f t="shared" si="60"/>
        <v>0</v>
      </c>
    </row>
    <row r="63" spans="2:97" x14ac:dyDescent="0.25">
      <c r="B63" s="79" t="s">
        <v>598</v>
      </c>
      <c r="C63" s="73" t="s">
        <v>599</v>
      </c>
      <c r="D63" s="29" t="s">
        <v>393</v>
      </c>
      <c r="E63" s="29" t="s">
        <v>587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57"/>
        <v>M12-STUDx60-HDG-8.8</v>
      </c>
      <c r="N63" s="29">
        <f>0</f>
        <v>0</v>
      </c>
      <c r="O63" s="29">
        <f t="shared" si="58"/>
        <v>30</v>
      </c>
      <c r="P63" s="29">
        <v>0</v>
      </c>
      <c r="Q63" s="29">
        <f t="shared" si="59"/>
        <v>30</v>
      </c>
      <c r="R63" s="29">
        <f t="shared" si="60"/>
        <v>0</v>
      </c>
    </row>
    <row r="64" spans="2:97" x14ac:dyDescent="0.25">
      <c r="B64" s="79" t="s">
        <v>600</v>
      </c>
      <c r="C64" s="73" t="s">
        <v>601</v>
      </c>
      <c r="D64" s="29" t="s">
        <v>393</v>
      </c>
      <c r="E64" s="29" t="s">
        <v>587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57"/>
        <v>M12-STUDx60-HDG-8.8</v>
      </c>
      <c r="N64" s="29">
        <f>0</f>
        <v>0</v>
      </c>
      <c r="O64" s="29">
        <f t="shared" si="58"/>
        <v>26</v>
      </c>
      <c r="P64" s="29">
        <v>0</v>
      </c>
      <c r="Q64" s="29">
        <f t="shared" si="59"/>
        <v>26</v>
      </c>
      <c r="R64" s="29">
        <f t="shared" si="60"/>
        <v>0</v>
      </c>
    </row>
    <row r="65" spans="2:18" x14ac:dyDescent="0.25">
      <c r="B65" s="79" t="s">
        <v>602</v>
      </c>
      <c r="C65" s="29">
        <v>1</v>
      </c>
      <c r="D65" s="29" t="s">
        <v>393</v>
      </c>
      <c r="E65" s="29" t="s">
        <v>603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57"/>
        <v>M8-STUDx50-HDG-8.8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2:18" x14ac:dyDescent="0.25">
      <c r="B66" s="189" t="s">
        <v>604</v>
      </c>
      <c r="C66" s="182" t="s">
        <v>605</v>
      </c>
      <c r="D66" s="29" t="s">
        <v>387</v>
      </c>
      <c r="E66" s="29" t="s">
        <v>606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M12x50-HDG-8.8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2:18" x14ac:dyDescent="0.25">
      <c r="B67" s="181"/>
      <c r="C67" s="181"/>
      <c r="D67" s="29" t="s">
        <v>387</v>
      </c>
      <c r="E67" s="29" t="s">
        <v>606</v>
      </c>
      <c r="F67" s="29" t="s">
        <v>19</v>
      </c>
      <c r="G67" s="29">
        <v>10</v>
      </c>
      <c r="H67" s="29">
        <v>0</v>
      </c>
      <c r="I67" s="29">
        <v>10</v>
      </c>
      <c r="J67" s="29">
        <f t="shared" si="54"/>
        <v>15</v>
      </c>
      <c r="K67" s="29">
        <f t="shared" si="55"/>
        <v>35</v>
      </c>
      <c r="L67" s="29">
        <f t="shared" si="56"/>
        <v>40</v>
      </c>
      <c r="M67" s="78" t="str">
        <f t="shared" si="61"/>
        <v>M8x40-HDG-8.8</v>
      </c>
      <c r="N67" s="29">
        <f>IF(C66="SUPPORT 1",4,IF(C66="SUPPORT 2",4,IF(C66="SUPPORT 3",4,IF(C66="SUPPORT 4",4,""))))</f>
        <v>4</v>
      </c>
      <c r="O67" s="29">
        <f>N67*1</f>
        <v>4</v>
      </c>
      <c r="P67" s="29">
        <v>0</v>
      </c>
      <c r="Q67" s="29">
        <f>N67*2</f>
        <v>8</v>
      </c>
      <c r="R67" s="29">
        <f>N67*2</f>
        <v>8</v>
      </c>
    </row>
    <row r="68" spans="2:18" x14ac:dyDescent="0.25">
      <c r="B68" s="79" t="s">
        <v>607</v>
      </c>
      <c r="C68" s="73">
        <v>1</v>
      </c>
      <c r="D68" s="29" t="s">
        <v>387</v>
      </c>
      <c r="E68" s="29" t="s">
        <v>239</v>
      </c>
      <c r="F68" s="29" t="s">
        <v>21</v>
      </c>
      <c r="G68" s="29">
        <v>15</v>
      </c>
      <c r="H68" s="29">
        <v>0</v>
      </c>
      <c r="I68" s="29">
        <v>15</v>
      </c>
      <c r="J68" s="29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29">
        <f t="shared" si="55"/>
        <v>53.3</v>
      </c>
      <c r="L68" s="29">
        <f t="shared" si="56"/>
        <v>60</v>
      </c>
      <c r="M68" s="78" t="str">
        <f t="shared" si="61"/>
        <v>M12x60-HDG-8.8</v>
      </c>
      <c r="N68" s="29">
        <f>C68*2</f>
        <v>2</v>
      </c>
      <c r="O68" s="29">
        <f>C68*2</f>
        <v>2</v>
      </c>
      <c r="P68" s="29">
        <f>C68*0</f>
        <v>0</v>
      </c>
      <c r="Q68" s="29">
        <f>C68*4</f>
        <v>4</v>
      </c>
      <c r="R68" s="29">
        <f>C68*4</f>
        <v>4</v>
      </c>
    </row>
    <row r="69" spans="2:18" x14ac:dyDescent="0.25">
      <c r="B69" s="79" t="s">
        <v>608</v>
      </c>
      <c r="C69" s="73">
        <v>1</v>
      </c>
      <c r="D69" s="29" t="s">
        <v>387</v>
      </c>
      <c r="E69" s="29" t="s">
        <v>609</v>
      </c>
      <c r="F69" s="29" t="s">
        <v>21</v>
      </c>
      <c r="G69" s="29">
        <v>15</v>
      </c>
      <c r="H69" s="29">
        <v>0</v>
      </c>
      <c r="I69" s="29">
        <v>15</v>
      </c>
      <c r="J69" s="29">
        <f t="shared" si="62"/>
        <v>23.3</v>
      </c>
      <c r="K69" s="29">
        <f t="shared" si="55"/>
        <v>53.3</v>
      </c>
      <c r="L69" s="29">
        <f t="shared" si="56"/>
        <v>60</v>
      </c>
      <c r="M69" s="78" t="str">
        <f t="shared" si="61"/>
        <v>M12x60-HDG-8.8</v>
      </c>
      <c r="N69" s="29">
        <f>C69*2</f>
        <v>2</v>
      </c>
      <c r="O69" s="29">
        <f>C69*2</f>
        <v>2</v>
      </c>
      <c r="P69" s="29">
        <v>0</v>
      </c>
      <c r="Q69" s="29">
        <f>C69*4</f>
        <v>4</v>
      </c>
      <c r="R69" s="29">
        <f>C69*4</f>
        <v>4</v>
      </c>
    </row>
    <row r="70" spans="2:18" x14ac:dyDescent="0.25">
      <c r="B70" s="189" t="s">
        <v>610</v>
      </c>
      <c r="C70" s="182" t="s">
        <v>611</v>
      </c>
      <c r="D70" s="29" t="s">
        <v>387</v>
      </c>
      <c r="E70" s="29" t="s">
        <v>612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M12x40-HDG-8.8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2:18" x14ac:dyDescent="0.25">
      <c r="B71" s="181"/>
      <c r="C71" s="181"/>
      <c r="D71" s="29" t="s">
        <v>387</v>
      </c>
      <c r="E71" s="29" t="s">
        <v>612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M5x30-HDG-8.8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2:18" x14ac:dyDescent="0.25">
      <c r="B72" s="79" t="s">
        <v>613</v>
      </c>
      <c r="C72" s="73" t="s">
        <v>614</v>
      </c>
      <c r="D72" s="29" t="s">
        <v>387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M12x50-HDG-8.8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2:18" x14ac:dyDescent="0.25">
      <c r="B73" s="79" t="s">
        <v>615</v>
      </c>
      <c r="C73" s="73" t="s">
        <v>614</v>
      </c>
      <c r="D73" s="29" t="s">
        <v>387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M12x50-HDG-8.8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2:18" x14ac:dyDescent="0.25">
      <c r="B74" s="79" t="s">
        <v>616</v>
      </c>
      <c r="C74" s="73" t="s">
        <v>614</v>
      </c>
      <c r="D74" s="29" t="s">
        <v>387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M12x50-HDG-8.8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2:18" x14ac:dyDescent="0.25">
      <c r="B75" s="189" t="s">
        <v>617</v>
      </c>
      <c r="C75" s="182">
        <v>2</v>
      </c>
      <c r="D75" s="29" t="s">
        <v>387</v>
      </c>
      <c r="E75" s="183" t="s">
        <v>618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M10x40-HDG-8.8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2:18" x14ac:dyDescent="0.25">
      <c r="B76" s="181"/>
      <c r="C76" s="181"/>
      <c r="D76" s="29" t="s">
        <v>387</v>
      </c>
      <c r="E76" s="180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M4x30-HDG-8.8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2:18" x14ac:dyDescent="0.25">
      <c r="B77" s="189" t="s">
        <v>619</v>
      </c>
      <c r="C77" s="182">
        <v>1</v>
      </c>
      <c r="D77" s="29" t="s">
        <v>387</v>
      </c>
      <c r="E77" s="183" t="s">
        <v>618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M10x40-HDG-8.8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2:18" x14ac:dyDescent="0.25">
      <c r="B78" s="181"/>
      <c r="C78" s="181"/>
      <c r="D78" s="29" t="s">
        <v>387</v>
      </c>
      <c r="E78" s="180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M4x30-HDG-8.8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2:18" x14ac:dyDescent="0.25">
      <c r="B79" s="189" t="s">
        <v>620</v>
      </c>
      <c r="C79" s="182">
        <v>1</v>
      </c>
      <c r="D79" s="29" t="s">
        <v>387</v>
      </c>
      <c r="E79" s="183" t="s">
        <v>618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M10x40-HDG-8.8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2:18" x14ac:dyDescent="0.25">
      <c r="B80" s="181"/>
      <c r="C80" s="181"/>
      <c r="D80" s="29" t="s">
        <v>387</v>
      </c>
      <c r="E80" s="180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M4x30-HDG-8.8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89" t="s">
        <v>621</v>
      </c>
      <c r="C81" s="182">
        <v>1</v>
      </c>
      <c r="D81" s="29" t="s">
        <v>387</v>
      </c>
      <c r="E81" s="183" t="s">
        <v>618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M10x40-HDG-8.8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81"/>
      <c r="C82" s="181"/>
      <c r="D82" s="29" t="s">
        <v>387</v>
      </c>
      <c r="E82" s="180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M4x30-HDG-8.8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89" t="s">
        <v>622</v>
      </c>
      <c r="C83" s="182">
        <v>1</v>
      </c>
      <c r="D83" s="29" t="s">
        <v>387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M10x40-HDG-8.8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81"/>
      <c r="C84" s="181"/>
      <c r="D84" s="29" t="s">
        <v>387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M4x30-HDG-8.8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623</v>
      </c>
      <c r="C85" s="73">
        <v>1</v>
      </c>
      <c r="D85" s="29" t="s">
        <v>387</v>
      </c>
      <c r="E85" s="29" t="s">
        <v>618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M8x40-HDG-8.8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624</v>
      </c>
      <c r="C86" s="73">
        <v>1</v>
      </c>
      <c r="D86" s="29" t="s">
        <v>393</v>
      </c>
      <c r="E86" s="29" t="s">
        <v>625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M12-STUDx40-HDG-8.8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624</v>
      </c>
      <c r="C87" s="73">
        <v>1</v>
      </c>
      <c r="D87" s="29" t="s">
        <v>393</v>
      </c>
      <c r="E87" s="29" t="s">
        <v>626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M10-STUDx30-HDG-8.8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627</v>
      </c>
      <c r="C88" s="73">
        <v>1</v>
      </c>
      <c r="D88" s="29" t="s">
        <v>387</v>
      </c>
      <c r="E88" s="29" t="s">
        <v>215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M10x40-HDG-8.8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628</v>
      </c>
      <c r="C89" s="73">
        <v>1</v>
      </c>
      <c r="D89" s="29" t="s">
        <v>387</v>
      </c>
      <c r="E89" s="29" t="s">
        <v>629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M12x50-HDG-8.8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79" customFormat="1" x14ac:dyDescent="0.25">
      <c r="A90" s="148"/>
      <c r="B90" s="78" t="s">
        <v>630</v>
      </c>
      <c r="C90" s="73">
        <v>63</v>
      </c>
      <c r="D90" s="29" t="s">
        <v>387</v>
      </c>
      <c r="E90" s="29" t="s">
        <v>631</v>
      </c>
      <c r="F90" s="29" t="s">
        <v>19</v>
      </c>
      <c r="G90" s="29">
        <v>15</v>
      </c>
      <c r="H90" s="29">
        <v>0</v>
      </c>
      <c r="I90" s="29">
        <v>0</v>
      </c>
      <c r="J90" s="29">
        <f t="shared" si="62"/>
        <v>17</v>
      </c>
      <c r="K90" s="29">
        <f t="shared" si="66"/>
        <v>32</v>
      </c>
      <c r="L90" s="29">
        <f>CEILING(K90, 5)</f>
        <v>35</v>
      </c>
      <c r="M90" s="78" t="str">
        <f t="shared" si="67"/>
        <v>M8x35-HDG-8.8</v>
      </c>
      <c r="N90" s="29">
        <f>C90*1</f>
        <v>63</v>
      </c>
      <c r="O90" s="29">
        <v>0</v>
      </c>
      <c r="P90" s="29">
        <v>0</v>
      </c>
      <c r="Q90" s="29">
        <f>N90*1</f>
        <v>63</v>
      </c>
      <c r="R90" s="29">
        <v>0</v>
      </c>
    </row>
    <row r="91" spans="1:19" s="79" customFormat="1" x14ac:dyDescent="0.25">
      <c r="A91" s="29"/>
      <c r="B91" s="191" t="s">
        <v>632</v>
      </c>
      <c r="C91" s="182">
        <v>1</v>
      </c>
      <c r="D91" s="29" t="s">
        <v>387</v>
      </c>
      <c r="E91" s="29" t="s">
        <v>633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M16x55-HDG-8.8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250</v>
      </c>
    </row>
    <row r="92" spans="1:19" s="79" customFormat="1" x14ac:dyDescent="0.25">
      <c r="A92" s="29"/>
      <c r="B92" s="192"/>
      <c r="C92" s="192"/>
      <c r="D92" s="29" t="s">
        <v>113</v>
      </c>
      <c r="E92" s="29" t="s">
        <v>633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M10x40-HDG-8.8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634</v>
      </c>
    </row>
    <row r="93" spans="1:19" s="79" customFormat="1" x14ac:dyDescent="0.25">
      <c r="A93" s="29"/>
      <c r="B93" s="192"/>
      <c r="C93" s="192"/>
      <c r="D93" s="29" t="s">
        <v>113</v>
      </c>
      <c r="E93" s="29" t="s">
        <v>633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M12x50-HDG-8.8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635</v>
      </c>
    </row>
    <row r="94" spans="1:19" s="79" customFormat="1" x14ac:dyDescent="0.25">
      <c r="A94" s="29"/>
      <c r="B94" s="192"/>
      <c r="C94" s="192"/>
      <c r="D94" s="29" t="s">
        <v>393</v>
      </c>
      <c r="E94" s="29" t="s">
        <v>633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M10-STUDx40-HDG-8.8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351</v>
      </c>
    </row>
    <row r="95" spans="1:19" s="79" customFormat="1" x14ac:dyDescent="0.25">
      <c r="A95" s="29"/>
      <c r="B95" s="191" t="s">
        <v>636</v>
      </c>
      <c r="C95" s="182">
        <v>1</v>
      </c>
      <c r="D95" s="29" t="s">
        <v>387</v>
      </c>
      <c r="E95" s="29" t="s">
        <v>633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M16x60-HDG-8.8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250</v>
      </c>
    </row>
    <row r="96" spans="1:19" s="79" customFormat="1" x14ac:dyDescent="0.25">
      <c r="A96" s="29"/>
      <c r="B96" s="192"/>
      <c r="C96" s="192"/>
      <c r="D96" s="29" t="s">
        <v>113</v>
      </c>
      <c r="E96" s="29" t="s">
        <v>633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M10x40-HDG-8.8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634</v>
      </c>
    </row>
    <row r="97" spans="1:29" s="79" customFormat="1" x14ac:dyDescent="0.25">
      <c r="A97" s="29"/>
      <c r="B97" s="192"/>
      <c r="C97" s="192"/>
      <c r="D97" s="29" t="s">
        <v>113</v>
      </c>
      <c r="E97" s="29" t="s">
        <v>633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M12x50-HDG-8.8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635</v>
      </c>
    </row>
    <row r="98" spans="1:29" x14ac:dyDescent="0.25">
      <c r="B98" s="189" t="s">
        <v>637</v>
      </c>
      <c r="C98" s="73">
        <v>2</v>
      </c>
      <c r="D98" s="29" t="s">
        <v>387</v>
      </c>
      <c r="E98" s="29" t="s">
        <v>638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M16x50-HDG-8.8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639</v>
      </c>
      <c r="AA98" t="s">
        <v>640</v>
      </c>
      <c r="AC98">
        <f>SUMIF(M15:M34,AA98,N15:N34)</f>
        <v>0</v>
      </c>
    </row>
    <row r="99" spans="1:29" ht="14.25" customHeight="1" x14ac:dyDescent="0.25">
      <c r="B99" s="181"/>
      <c r="C99" s="73">
        <v>2</v>
      </c>
      <c r="D99" s="29" t="s">
        <v>387</v>
      </c>
      <c r="E99" s="29" t="s">
        <v>638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M16x50-HDG-8.8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641</v>
      </c>
      <c r="AA99" t="s">
        <v>642</v>
      </c>
    </row>
    <row r="100" spans="1:29" x14ac:dyDescent="0.25">
      <c r="A100" s="157"/>
      <c r="B100" s="189" t="s">
        <v>643</v>
      </c>
      <c r="C100" s="182">
        <v>1</v>
      </c>
      <c r="D100" s="29" t="s">
        <v>387</v>
      </c>
      <c r="E100" s="29" t="s">
        <v>644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M20x70-HDG-8.8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645</v>
      </c>
      <c r="AA100" t="s">
        <v>646</v>
      </c>
    </row>
    <row r="101" spans="1:29" x14ac:dyDescent="0.25">
      <c r="A101" s="157"/>
      <c r="B101" s="181"/>
      <c r="C101" s="181"/>
      <c r="D101" s="29" t="s">
        <v>393</v>
      </c>
      <c r="E101" s="29" t="s">
        <v>644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M16-STUDx30-HDG-8.8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647</v>
      </c>
      <c r="AA101" t="s">
        <v>648</v>
      </c>
    </row>
    <row r="102" spans="1:29" x14ac:dyDescent="0.25">
      <c r="A102" s="157"/>
      <c r="B102" s="79" t="s">
        <v>649</v>
      </c>
      <c r="C102" s="73">
        <v>10</v>
      </c>
      <c r="D102" s="29" t="s">
        <v>387</v>
      </c>
      <c r="E102" s="29" t="s">
        <v>650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M16x60-HDG-8.8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651</v>
      </c>
      <c r="AA102" t="s">
        <v>652</v>
      </c>
    </row>
    <row r="103" spans="1:29" x14ac:dyDescent="0.25">
      <c r="B103" s="79" t="s">
        <v>653</v>
      </c>
      <c r="C103" s="73">
        <v>1</v>
      </c>
      <c r="D103" s="29" t="s">
        <v>387</v>
      </c>
      <c r="E103" s="29" t="s">
        <v>654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M16x50-HDG-8.8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655</v>
      </c>
      <c r="AA103" t="s">
        <v>656</v>
      </c>
    </row>
    <row r="104" spans="1:29" x14ac:dyDescent="0.25">
      <c r="B104" s="79" t="s">
        <v>657</v>
      </c>
      <c r="C104" s="73">
        <v>1</v>
      </c>
      <c r="D104" s="29" t="s">
        <v>387</v>
      </c>
      <c r="E104" s="29" t="s">
        <v>654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M12x50-HDG-8.8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658</v>
      </c>
    </row>
    <row r="105" spans="1:29" x14ac:dyDescent="0.25">
      <c r="B105" s="79" t="s">
        <v>659</v>
      </c>
      <c r="C105" s="73">
        <v>1</v>
      </c>
      <c r="D105" s="29" t="s">
        <v>387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M16x50-HDG-8.8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660</v>
      </c>
      <c r="AA105" t="s">
        <v>661</v>
      </c>
    </row>
    <row r="106" spans="1:29" x14ac:dyDescent="0.25">
      <c r="B106" s="79" t="s">
        <v>662</v>
      </c>
      <c r="C106" s="73">
        <v>1</v>
      </c>
      <c r="D106" s="29" t="s">
        <v>387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M16x60-HDG-8.8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663</v>
      </c>
      <c r="AA106" t="s">
        <v>664</v>
      </c>
    </row>
    <row r="107" spans="1:29" x14ac:dyDescent="0.25">
      <c r="B107" s="79" t="s">
        <v>665</v>
      </c>
      <c r="C107" s="73">
        <v>1</v>
      </c>
      <c r="D107" s="29" t="s">
        <v>387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M16x60-HDG-8.8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666</v>
      </c>
      <c r="AA107" t="s">
        <v>667</v>
      </c>
    </row>
    <row r="108" spans="1:29" x14ac:dyDescent="0.25">
      <c r="B108" s="79" t="s">
        <v>668</v>
      </c>
      <c r="C108" s="73">
        <v>10</v>
      </c>
      <c r="D108" s="29" t="s">
        <v>387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M12x50-HDG-8.8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669</v>
      </c>
    </row>
    <row r="109" spans="1:29" x14ac:dyDescent="0.25">
      <c r="B109" s="79" t="s">
        <v>670</v>
      </c>
      <c r="C109" s="73">
        <v>10</v>
      </c>
      <c r="D109" s="29" t="s">
        <v>387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M12x50-HDG-8.8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671</v>
      </c>
    </row>
    <row r="110" spans="1:29" x14ac:dyDescent="0.25">
      <c r="B110" s="79" t="s">
        <v>672</v>
      </c>
      <c r="C110" s="73">
        <v>1</v>
      </c>
      <c r="D110" s="29" t="s">
        <v>393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M10-STUDx50-HDG-8.8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673</v>
      </c>
    </row>
    <row r="111" spans="1:29" x14ac:dyDescent="0.25">
      <c r="B111" s="79" t="s">
        <v>674</v>
      </c>
      <c r="C111" s="73" t="s">
        <v>595</v>
      </c>
      <c r="D111" s="29" t="s">
        <v>393</v>
      </c>
      <c r="E111" s="29" t="s">
        <v>675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M12-STUDx60-HDG-8.8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676</v>
      </c>
      <c r="C112" s="73">
        <v>1</v>
      </c>
      <c r="D112" s="29" t="s">
        <v>387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M12x50-HDG-8.8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677</v>
      </c>
      <c r="C113" s="73">
        <v>1</v>
      </c>
      <c r="D113" s="29" t="s">
        <v>387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M12x50-HDG-8.8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89" t="s">
        <v>678</v>
      </c>
      <c r="C114" s="73">
        <v>1</v>
      </c>
      <c r="D114" s="29" t="s">
        <v>113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M24x110-HDG-8.8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x14ac:dyDescent="0.25">
      <c r="B115" s="181"/>
      <c r="C115" s="73">
        <v>1</v>
      </c>
      <c r="D115" s="29" t="s">
        <v>393</v>
      </c>
      <c r="E115" s="29"/>
      <c r="F115" s="73" t="s">
        <v>24</v>
      </c>
      <c r="G115" s="73">
        <v>26</v>
      </c>
      <c r="H115" s="73">
        <v>10</v>
      </c>
      <c r="I115" s="73">
        <v>25</v>
      </c>
      <c r="J115" s="29">
        <f t="shared" si="70"/>
        <v>39.5</v>
      </c>
      <c r="K115" s="29">
        <f t="shared" si="66"/>
        <v>100.5</v>
      </c>
      <c r="L115" s="29">
        <f t="shared" si="68"/>
        <v>110</v>
      </c>
      <c r="M115" s="78" t="str">
        <f t="shared" si="74"/>
        <v>M24x110-HDG-8.8</v>
      </c>
      <c r="N115" s="29">
        <f>C115</f>
        <v>1</v>
      </c>
      <c r="O115" s="29">
        <f>C115</f>
        <v>1</v>
      </c>
      <c r="P115" s="29">
        <v>0</v>
      </c>
      <c r="Q115" s="29">
        <f>C115*2</f>
        <v>2</v>
      </c>
      <c r="R115" s="29">
        <f>IF(D115="SD-269",C115*8,0)</f>
        <v>0</v>
      </c>
    </row>
    <row r="116" spans="1:21" x14ac:dyDescent="0.25">
      <c r="B116" s="79" t="s">
        <v>679</v>
      </c>
      <c r="C116" s="73">
        <v>2</v>
      </c>
      <c r="D116" s="29" t="s">
        <v>387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M16x70-HDG-8.8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680</v>
      </c>
      <c r="C117" s="73">
        <v>1</v>
      </c>
      <c r="D117" s="29" t="s">
        <v>387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M16x50-HDG-8.8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681</v>
      </c>
      <c r="C118" s="73">
        <v>1</v>
      </c>
      <c r="D118" s="29" t="s">
        <v>387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M16x50-HDG-8.8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682</v>
      </c>
      <c r="C119" s="73">
        <v>1</v>
      </c>
      <c r="D119" s="29" t="s">
        <v>387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M5x40-HDG-8.8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683</v>
      </c>
      <c r="C120" s="73">
        <v>1</v>
      </c>
      <c r="D120" s="29" t="s">
        <v>387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M16x50-HDG-8.8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684</v>
      </c>
      <c r="C121" s="73">
        <v>1</v>
      </c>
      <c r="D121" s="29" t="s">
        <v>387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M16x50-HDG-8.8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685</v>
      </c>
      <c r="C122" s="73">
        <v>1</v>
      </c>
      <c r="D122" s="29" t="s">
        <v>387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M16x50-HDG-8.8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686</v>
      </c>
      <c r="C123" s="73">
        <v>1</v>
      </c>
      <c r="D123" s="29" t="s">
        <v>387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M16x50-HDG-8.8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414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190" t="s">
        <v>687</v>
      </c>
      <c r="C126" s="73" t="s">
        <v>546</v>
      </c>
      <c r="D126" s="29" t="s">
        <v>113</v>
      </c>
      <c r="E126" s="196" t="s">
        <v>547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M12x70-HDG-8.8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548</v>
      </c>
    </row>
    <row r="127" spans="1:21" x14ac:dyDescent="0.25">
      <c r="B127" s="181"/>
      <c r="C127" s="73">
        <v>600</v>
      </c>
      <c r="D127" s="29" t="s">
        <v>113</v>
      </c>
      <c r="E127" s="180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M12x50-HDG-8.8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688</v>
      </c>
    </row>
    <row r="128" spans="1:21" x14ac:dyDescent="0.25">
      <c r="B128" s="181"/>
      <c r="C128" s="73" t="s">
        <v>689</v>
      </c>
      <c r="D128" s="29" t="s">
        <v>393</v>
      </c>
      <c r="E128" s="180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83"/>
      <c r="H128" s="181"/>
      <c r="I128" s="181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M12-STUDx85-HDG-8.8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555</v>
      </c>
    </row>
    <row r="129" spans="2:19" x14ac:dyDescent="0.25">
      <c r="B129" s="181"/>
      <c r="C129" s="73" t="s">
        <v>558</v>
      </c>
      <c r="D129" s="29" t="s">
        <v>113</v>
      </c>
      <c r="E129" s="180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M16x60-HDG-8.8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559</v>
      </c>
    </row>
    <row r="130" spans="2:19" x14ac:dyDescent="0.25">
      <c r="B130" s="189" t="s">
        <v>690</v>
      </c>
      <c r="C130" s="73" t="s">
        <v>546</v>
      </c>
      <c r="D130" s="29" t="s">
        <v>113</v>
      </c>
      <c r="E130" s="183" t="s">
        <v>564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M12x60-HDG-8.8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548</v>
      </c>
    </row>
    <row r="131" spans="2:19" x14ac:dyDescent="0.25">
      <c r="B131" s="181"/>
      <c r="C131" s="73">
        <v>600</v>
      </c>
      <c r="D131" s="29" t="s">
        <v>113</v>
      </c>
      <c r="E131" s="180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M12x50-HDG-8.8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688</v>
      </c>
    </row>
    <row r="132" spans="2:19" x14ac:dyDescent="0.25">
      <c r="B132" s="181"/>
      <c r="C132" s="73" t="s">
        <v>689</v>
      </c>
      <c r="D132" s="29" t="s">
        <v>393</v>
      </c>
      <c r="E132" s="180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83"/>
      <c r="H132" s="181"/>
      <c r="I132" s="181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M12-STUDx85-HDG-8.8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555</v>
      </c>
    </row>
    <row r="133" spans="2:19" x14ac:dyDescent="0.25">
      <c r="B133" s="181"/>
      <c r="C133" s="73" t="s">
        <v>546</v>
      </c>
      <c r="D133" s="29" t="s">
        <v>113</v>
      </c>
      <c r="E133" s="180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M12x75-HDG-8.8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24</v>
      </c>
      <c r="O133" s="86">
        <f>N133*1</f>
        <v>24</v>
      </c>
      <c r="P133" s="29">
        <v>0</v>
      </c>
      <c r="Q133" s="86">
        <f>O133*2</f>
        <v>48</v>
      </c>
      <c r="R133" s="29">
        <v>0</v>
      </c>
      <c r="S133" s="83" t="s">
        <v>573</v>
      </c>
    </row>
    <row r="134" spans="2:19" x14ac:dyDescent="0.25">
      <c r="B134" s="181"/>
      <c r="C134" s="73" t="s">
        <v>558</v>
      </c>
      <c r="D134" s="29" t="s">
        <v>113</v>
      </c>
      <c r="E134" s="180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M16x60-HDG-8.8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559</v>
      </c>
    </row>
    <row r="135" spans="2:19" x14ac:dyDescent="0.25">
      <c r="B135" s="189" t="s">
        <v>691</v>
      </c>
      <c r="C135" s="73" t="s">
        <v>546</v>
      </c>
      <c r="D135" s="29" t="s">
        <v>113</v>
      </c>
      <c r="E135" s="183" t="s">
        <v>547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M12x60-HDG-8.8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548</v>
      </c>
    </row>
    <row r="136" spans="2:19" x14ac:dyDescent="0.25">
      <c r="B136" s="181"/>
      <c r="C136" s="73">
        <v>600</v>
      </c>
      <c r="D136" s="29" t="s">
        <v>113</v>
      </c>
      <c r="E136" s="180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M12x50-HDG-8.8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692</v>
      </c>
    </row>
    <row r="137" spans="2:19" x14ac:dyDescent="0.25">
      <c r="B137" s="181"/>
      <c r="C137" s="73" t="s">
        <v>689</v>
      </c>
      <c r="D137" s="29" t="s">
        <v>393</v>
      </c>
      <c r="E137" s="180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83"/>
      <c r="H137" s="181"/>
      <c r="I137" s="181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M12-STUDx85-HDG-8.8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555</v>
      </c>
    </row>
    <row r="138" spans="2:19" x14ac:dyDescent="0.25">
      <c r="B138" s="181"/>
      <c r="C138" s="73" t="s">
        <v>558</v>
      </c>
      <c r="D138" s="29" t="s">
        <v>113</v>
      </c>
      <c r="E138" s="180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M16x60-HDG-8.8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559</v>
      </c>
    </row>
    <row r="139" spans="2:19" x14ac:dyDescent="0.25">
      <c r="B139" s="189" t="s">
        <v>693</v>
      </c>
      <c r="C139" s="73" t="s">
        <v>546</v>
      </c>
      <c r="D139" s="29" t="s">
        <v>113</v>
      </c>
      <c r="E139" s="183" t="s">
        <v>564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M12x60-HDG-8.8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548</v>
      </c>
    </row>
    <row r="140" spans="2:19" x14ac:dyDescent="0.25">
      <c r="B140" s="181"/>
      <c r="C140" s="73">
        <v>600</v>
      </c>
      <c r="D140" s="29" t="s">
        <v>113</v>
      </c>
      <c r="E140" s="180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M12x50-HDG-8.8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688</v>
      </c>
    </row>
    <row r="141" spans="2:19" x14ac:dyDescent="0.25">
      <c r="B141" s="181"/>
      <c r="C141" s="73" t="s">
        <v>689</v>
      </c>
      <c r="D141" s="29" t="s">
        <v>393</v>
      </c>
      <c r="E141" s="180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83"/>
      <c r="H141" s="181"/>
      <c r="I141" s="181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M12-STUDx85-HDG-8.8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555</v>
      </c>
    </row>
    <row r="142" spans="2:19" x14ac:dyDescent="0.25">
      <c r="B142" s="181"/>
      <c r="C142" s="73" t="s">
        <v>546</v>
      </c>
      <c r="D142" s="29" t="s">
        <v>113</v>
      </c>
      <c r="E142" s="180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M12x75-HDG-8.8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573</v>
      </c>
    </row>
    <row r="143" spans="2:19" x14ac:dyDescent="0.25">
      <c r="B143" s="181"/>
      <c r="C143" s="73" t="s">
        <v>558</v>
      </c>
      <c r="D143" s="29" t="s">
        <v>113</v>
      </c>
      <c r="E143" s="180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M16x60-HDG-8.8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559</v>
      </c>
    </row>
    <row r="144" spans="2:19" x14ac:dyDescent="0.25">
      <c r="B144" s="79" t="s">
        <v>694</v>
      </c>
      <c r="C144" s="73">
        <v>1</v>
      </c>
      <c r="D144" s="85" t="s">
        <v>393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M12-STUDx80-HDG-8.8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x14ac:dyDescent="0.25">
      <c r="B145" s="79" t="s">
        <v>695</v>
      </c>
      <c r="C145" s="73">
        <v>2</v>
      </c>
      <c r="D145" s="85" t="s">
        <v>113</v>
      </c>
      <c r="E145" s="85" t="s">
        <v>696</v>
      </c>
      <c r="F145" s="29" t="s">
        <v>21</v>
      </c>
      <c r="G145" s="29">
        <v>12</v>
      </c>
      <c r="H145" s="29">
        <v>0</v>
      </c>
      <c r="I145" s="29">
        <v>10</v>
      </c>
      <c r="J145" s="29">
        <f t="shared" si="81"/>
        <v>20.8</v>
      </c>
      <c r="K145" s="29">
        <f t="shared" si="82"/>
        <v>42.8</v>
      </c>
      <c r="L145" s="29">
        <f t="shared" si="83"/>
        <v>50</v>
      </c>
      <c r="M145" s="78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M12x50-HDG-8.8</v>
      </c>
      <c r="N145" s="29">
        <f>C145*16</f>
        <v>32</v>
      </c>
      <c r="O145" s="86">
        <f>N145*1</f>
        <v>32</v>
      </c>
      <c r="P145" s="29">
        <v>0</v>
      </c>
      <c r="Q145" s="86">
        <f>N145*2</f>
        <v>64</v>
      </c>
      <c r="R145" s="86">
        <f>N145*1</f>
        <v>32</v>
      </c>
    </row>
    <row r="146" spans="1:21" x14ac:dyDescent="0.25">
      <c r="B146" s="79" t="s">
        <v>697</v>
      </c>
      <c r="C146" s="73">
        <v>1</v>
      </c>
      <c r="D146" s="85" t="s">
        <v>393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M12x60-HDG-8.8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698</v>
      </c>
      <c r="C147" s="73">
        <v>1</v>
      </c>
      <c r="D147" s="85" t="s">
        <v>393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M12x60-HDG-8.8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699</v>
      </c>
      <c r="C148" s="73">
        <v>1</v>
      </c>
      <c r="D148" s="85" t="s">
        <v>387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M16x50-HDG-8.8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700</v>
      </c>
      <c r="C149" s="73">
        <v>2</v>
      </c>
      <c r="D149" s="85" t="s">
        <v>387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M4x30-HDG-8.8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701</v>
      </c>
      <c r="C150" s="73">
        <v>1</v>
      </c>
      <c r="D150" s="85" t="s">
        <v>113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M16x70-HDG-8.8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702</v>
      </c>
      <c r="C151" s="73">
        <v>1</v>
      </c>
      <c r="D151" s="29" t="s">
        <v>393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M12-STUDx70-HDG-8.8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703</v>
      </c>
      <c r="C152" s="73" t="s">
        <v>601</v>
      </c>
      <c r="D152" s="29" t="s">
        <v>393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M12-STUDx60-HDG-8.8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704</v>
      </c>
      <c r="C153" s="73" t="s">
        <v>595</v>
      </c>
      <c r="D153" s="29" t="s">
        <v>393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M12-STUDx60-HDG-8.8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705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706</v>
      </c>
      <c r="C156" s="73" t="s">
        <v>593</v>
      </c>
      <c r="D156" s="29" t="s">
        <v>587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M12-STUDx60-HDG-8.8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707</v>
      </c>
      <c r="C157" s="73">
        <v>90</v>
      </c>
      <c r="D157" s="29" t="s">
        <v>387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M12x60-HDG-8.8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708</v>
      </c>
      <c r="C158" s="73">
        <v>90</v>
      </c>
      <c r="D158" s="29" t="s">
        <v>387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M12x60-HDG-8.8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709</v>
      </c>
      <c r="C159" s="73">
        <v>90</v>
      </c>
      <c r="D159" s="29" t="s">
        <v>387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M12x60-HDG-8.8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710</v>
      </c>
      <c r="C160" s="73" t="s">
        <v>593</v>
      </c>
      <c r="D160" s="29" t="s">
        <v>587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M12-STUDx60-HDG-8.8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711</v>
      </c>
      <c r="C161" s="73" t="s">
        <v>558</v>
      </c>
      <c r="D161" s="29" t="s">
        <v>113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M16x60-HDG-8.8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559</v>
      </c>
    </row>
    <row r="162" spans="1:20" x14ac:dyDescent="0.25">
      <c r="B162" s="79" t="s">
        <v>712</v>
      </c>
      <c r="C162" s="73" t="s">
        <v>713</v>
      </c>
      <c r="D162" s="29" t="s">
        <v>113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M12x50-HDG-8.8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714</v>
      </c>
      <c r="C163" s="73">
        <v>1</v>
      </c>
      <c r="D163" s="29" t="s">
        <v>113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M16x60-HDG-8.8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715</v>
      </c>
      <c r="C164" s="73">
        <v>1</v>
      </c>
      <c r="D164" s="29" t="s">
        <v>113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M16x50-HDG-8.8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716</v>
      </c>
      <c r="C165" s="73">
        <v>50</v>
      </c>
      <c r="D165" s="29" t="s">
        <v>113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M12x40-HDG-8.8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717</v>
      </c>
      <c r="C166" s="29">
        <v>1</v>
      </c>
      <c r="D166" s="29" t="s">
        <v>387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M12x50-HDG-8.8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718</v>
      </c>
      <c r="C167" s="29">
        <v>1</v>
      </c>
      <c r="D167" s="29" t="s">
        <v>387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M20x50-HDG-8.8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719</v>
      </c>
      <c r="C168" s="29">
        <v>1</v>
      </c>
      <c r="D168" s="29" t="s">
        <v>387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M12x50-HDG-8.8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720</v>
      </c>
      <c r="C169" s="29">
        <v>1</v>
      </c>
      <c r="D169" s="29" t="s">
        <v>387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M16x50-HDG-8.8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721</v>
      </c>
      <c r="C170" s="29">
        <v>1</v>
      </c>
      <c r="D170" s="29" t="s">
        <v>387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M16x50-HDG-8.8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722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706</v>
      </c>
      <c r="C173" s="73" t="s">
        <v>593</v>
      </c>
      <c r="D173" s="29" t="s">
        <v>587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M12-STUDx60-HDG-8.8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707</v>
      </c>
      <c r="C174" s="73">
        <v>90</v>
      </c>
      <c r="D174" s="29" t="s">
        <v>387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M12x60-HDG-8.8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708</v>
      </c>
      <c r="C175" s="73">
        <v>90</v>
      </c>
      <c r="D175" s="29" t="s">
        <v>387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M12x60-HDG-8.8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709</v>
      </c>
      <c r="C176" s="73">
        <v>90</v>
      </c>
      <c r="D176" s="29" t="s">
        <v>387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M12x60-HDG-8.8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710</v>
      </c>
      <c r="C177" s="73" t="s">
        <v>593</v>
      </c>
      <c r="D177" s="29" t="s">
        <v>587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M12-STUDx60-HDG-8.8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711</v>
      </c>
      <c r="C178" s="73" t="s">
        <v>558</v>
      </c>
      <c r="D178" s="29" t="s">
        <v>113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M16x60-HDG-8.8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559</v>
      </c>
    </row>
    <row r="179" spans="1:20" x14ac:dyDescent="0.25">
      <c r="B179" s="79" t="s">
        <v>712</v>
      </c>
      <c r="C179" s="73" t="s">
        <v>713</v>
      </c>
      <c r="D179" s="29" t="s">
        <v>113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M12x50-HDG-8.8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714</v>
      </c>
      <c r="C180" s="73">
        <v>1</v>
      </c>
      <c r="D180" s="29" t="s">
        <v>113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M16x60-HDG-8.8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715</v>
      </c>
      <c r="C181" s="73">
        <v>1</v>
      </c>
      <c r="D181" s="29" t="s">
        <v>113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M16x50-HDG-8.8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716</v>
      </c>
      <c r="C182" s="73">
        <v>50</v>
      </c>
      <c r="D182" s="29" t="s">
        <v>113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M12x40-HDG-8.8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717</v>
      </c>
      <c r="C183" s="29">
        <v>1</v>
      </c>
      <c r="D183" s="29" t="s">
        <v>387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M12x50-HDG-8.8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718</v>
      </c>
      <c r="C184" s="29">
        <v>1</v>
      </c>
      <c r="D184" s="29" t="s">
        <v>387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M20x50-HDG-8.8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719</v>
      </c>
      <c r="C185" s="29">
        <v>1</v>
      </c>
      <c r="D185" s="29" t="s">
        <v>387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M12x50-HDG-8.8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720</v>
      </c>
      <c r="C186" s="29">
        <v>1</v>
      </c>
      <c r="D186" s="29" t="s">
        <v>387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M16x50-HDG-8.8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721</v>
      </c>
      <c r="C187" s="29">
        <v>1</v>
      </c>
      <c r="D187" s="29" t="s">
        <v>387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M16x50-HDG-8.8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417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706</v>
      </c>
      <c r="C190" s="73" t="s">
        <v>593</v>
      </c>
      <c r="D190" s="29" t="s">
        <v>587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M12-STUDx60-HDG-8.8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707</v>
      </c>
      <c r="C191" s="73">
        <v>90</v>
      </c>
      <c r="D191" s="29" t="s">
        <v>387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M12x60-HDG-8.8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708</v>
      </c>
      <c r="C192" s="73">
        <v>90</v>
      </c>
      <c r="D192" s="29" t="s">
        <v>387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M12x60-HDG-8.8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709</v>
      </c>
      <c r="C193" s="73">
        <v>90</v>
      </c>
      <c r="D193" s="29" t="s">
        <v>387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M12x60-HDG-8.8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710</v>
      </c>
      <c r="C194" s="73" t="s">
        <v>593</v>
      </c>
      <c r="D194" s="29" t="s">
        <v>587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M12-STUDx60-HDG-8.8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711</v>
      </c>
      <c r="C195" s="73" t="s">
        <v>558</v>
      </c>
      <c r="D195" s="29" t="s">
        <v>113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M16x60-HDG-8.8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559</v>
      </c>
    </row>
    <row r="196" spans="1:20" x14ac:dyDescent="0.25">
      <c r="B196" s="79" t="s">
        <v>712</v>
      </c>
      <c r="C196" s="73" t="s">
        <v>713</v>
      </c>
      <c r="D196" s="29" t="s">
        <v>113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M12x50-HDG-8.8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714</v>
      </c>
      <c r="C197" s="73">
        <v>1</v>
      </c>
      <c r="D197" s="29" t="s">
        <v>113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M16x60-HDG-8.8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715</v>
      </c>
      <c r="C198" s="73">
        <v>1</v>
      </c>
      <c r="D198" s="29" t="s">
        <v>113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M16x50-HDG-8.8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716</v>
      </c>
      <c r="C199" s="73">
        <v>50</v>
      </c>
      <c r="D199" s="29" t="s">
        <v>113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M12x40-HDG-8.8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717</v>
      </c>
      <c r="C200" s="29">
        <v>1</v>
      </c>
      <c r="D200" s="29" t="s">
        <v>387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M12x50-HDG-8.8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718</v>
      </c>
      <c r="C201" s="29">
        <v>1</v>
      </c>
      <c r="D201" s="29" t="s">
        <v>387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M20x50-HDG-8.8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719</v>
      </c>
      <c r="C202" s="29">
        <v>1</v>
      </c>
      <c r="D202" s="29" t="s">
        <v>387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M12x50-HDG-8.8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720</v>
      </c>
      <c r="C203" s="29">
        <v>1</v>
      </c>
      <c r="D203" s="29" t="s">
        <v>387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M16x50-HDG-8.8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721</v>
      </c>
      <c r="C204" s="29">
        <v>1</v>
      </c>
      <c r="D204" s="29" t="s">
        <v>387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M16x50-HDG-8.8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418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x14ac:dyDescent="0.25">
      <c r="B207" t="s">
        <v>723</v>
      </c>
      <c r="C207" s="29">
        <v>1</v>
      </c>
      <c r="D207" s="29" t="s">
        <v>387</v>
      </c>
      <c r="E207" s="29"/>
      <c r="F207" s="73" t="s">
        <v>22</v>
      </c>
      <c r="G207" s="73">
        <v>10</v>
      </c>
      <c r="H207" s="73">
        <v>45</v>
      </c>
      <c r="I207" s="73">
        <v>10</v>
      </c>
      <c r="J207" s="29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29">
        <f t="shared" ref="K207:K223" si="98">SUM(G207:J207)</f>
        <v>117.4</v>
      </c>
      <c r="L207" s="29">
        <f t="shared" ref="L207:L223" si="99">CEILING(K207, 10)</f>
        <v>120</v>
      </c>
      <c r="M207" s="78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M16x120-HDG-8.8</v>
      </c>
      <c r="N207" s="29">
        <f>C207*4</f>
        <v>4</v>
      </c>
      <c r="O207" s="29">
        <f>C207*8</f>
        <v>8</v>
      </c>
      <c r="P207" s="29">
        <v>0</v>
      </c>
      <c r="Q207" s="29">
        <f>C207*8</f>
        <v>8</v>
      </c>
      <c r="R207" s="29">
        <f t="shared" ref="R207:R223" si="101">N207*0</f>
        <v>0</v>
      </c>
    </row>
    <row r="208" spans="1:20" x14ac:dyDescent="0.25">
      <c r="B208" t="s">
        <v>724</v>
      </c>
      <c r="C208" s="29">
        <v>1</v>
      </c>
      <c r="D208" s="29" t="s">
        <v>387</v>
      </c>
      <c r="E208" s="29"/>
      <c r="F208" s="73" t="s">
        <v>22</v>
      </c>
      <c r="G208" s="73">
        <v>10</v>
      </c>
      <c r="H208" s="73">
        <v>45</v>
      </c>
      <c r="I208" s="73">
        <v>10</v>
      </c>
      <c r="J208" s="29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29">
        <f t="shared" si="98"/>
        <v>117.4</v>
      </c>
      <c r="L208" s="29">
        <f t="shared" si="99"/>
        <v>120</v>
      </c>
      <c r="M208" s="78" t="str">
        <f t="shared" si="100"/>
        <v>M16x120-HDG-8.8</v>
      </c>
      <c r="N208" s="29">
        <f>C208*4</f>
        <v>4</v>
      </c>
      <c r="O208" s="29">
        <f>C208*8</f>
        <v>8</v>
      </c>
      <c r="P208" s="29">
        <v>0</v>
      </c>
      <c r="Q208" s="29">
        <f t="shared" ref="Q208:Q223" si="102">C208*2</f>
        <v>2</v>
      </c>
      <c r="R208" s="29">
        <f t="shared" si="101"/>
        <v>0</v>
      </c>
    </row>
    <row r="209" spans="2:18" x14ac:dyDescent="0.25">
      <c r="B209" t="s">
        <v>725</v>
      </c>
      <c r="C209" s="29">
        <v>120</v>
      </c>
      <c r="D209" s="29" t="s">
        <v>387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3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M20x50-HDG-8.8</v>
      </c>
      <c r="N209" s="29">
        <f t="shared" ref="N209:N223" si="104">C209*1</f>
        <v>120</v>
      </c>
      <c r="O209" s="29">
        <f>C209*1</f>
        <v>120</v>
      </c>
      <c r="P209" s="29">
        <v>0</v>
      </c>
      <c r="Q209" s="29">
        <f t="shared" si="102"/>
        <v>240</v>
      </c>
      <c r="R209" s="29">
        <f t="shared" si="101"/>
        <v>0</v>
      </c>
    </row>
    <row r="210" spans="2:18" x14ac:dyDescent="0.25">
      <c r="B210" t="s">
        <v>726</v>
      </c>
      <c r="C210" s="29">
        <v>0</v>
      </c>
      <c r="D210" s="29" t="s">
        <v>387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3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M20x50-HDG-8.8</v>
      </c>
      <c r="N210" s="29">
        <f t="shared" si="104"/>
        <v>0</v>
      </c>
      <c r="O210" s="29">
        <f>C210*1</f>
        <v>0</v>
      </c>
      <c r="P210" s="29">
        <v>0</v>
      </c>
      <c r="Q210" s="29">
        <f t="shared" si="102"/>
        <v>0</v>
      </c>
      <c r="R210" s="29">
        <f t="shared" si="101"/>
        <v>0</v>
      </c>
    </row>
    <row r="211" spans="2:18" x14ac:dyDescent="0.25">
      <c r="B211" t="s">
        <v>727</v>
      </c>
      <c r="C211" s="29">
        <v>0</v>
      </c>
      <c r="D211" s="29" t="s">
        <v>387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3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M16x50-HDG-8.8</v>
      </c>
      <c r="N211" s="29">
        <f t="shared" si="104"/>
        <v>0</v>
      </c>
      <c r="O211" s="29">
        <f>C211*1</f>
        <v>0</v>
      </c>
      <c r="P211" s="29">
        <v>0</v>
      </c>
      <c r="Q211" s="29">
        <f t="shared" si="102"/>
        <v>0</v>
      </c>
      <c r="R211" s="29">
        <f t="shared" si="101"/>
        <v>0</v>
      </c>
    </row>
    <row r="212" spans="2:18" x14ac:dyDescent="0.25">
      <c r="B212" t="s">
        <v>728</v>
      </c>
      <c r="C212" s="29">
        <v>0</v>
      </c>
      <c r="D212" s="29" t="s">
        <v>387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3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M16x50-HDG-8.8</v>
      </c>
      <c r="N212" s="29">
        <f t="shared" si="104"/>
        <v>0</v>
      </c>
      <c r="O212" s="29">
        <f>C212*1</f>
        <v>0</v>
      </c>
      <c r="P212" s="29">
        <v>0</v>
      </c>
      <c r="Q212" s="29">
        <f t="shared" si="102"/>
        <v>0</v>
      </c>
      <c r="R212" s="29">
        <f t="shared" si="101"/>
        <v>0</v>
      </c>
    </row>
    <row r="213" spans="2:18" x14ac:dyDescent="0.25">
      <c r="B213" t="s">
        <v>729</v>
      </c>
      <c r="C213" s="29">
        <v>2</v>
      </c>
      <c r="D213" s="29" t="s">
        <v>387</v>
      </c>
      <c r="E213" s="29"/>
      <c r="F213" s="73" t="s">
        <v>22</v>
      </c>
      <c r="G213" s="73">
        <v>10</v>
      </c>
      <c r="H213" s="73">
        <v>0</v>
      </c>
      <c r="I213" s="73">
        <v>10</v>
      </c>
      <c r="J213" s="29">
        <f t="shared" si="103"/>
        <v>25.8</v>
      </c>
      <c r="K213" s="29">
        <f t="shared" si="98"/>
        <v>45.8</v>
      </c>
      <c r="L213" s="29">
        <f t="shared" si="99"/>
        <v>50</v>
      </c>
      <c r="M213" s="78" t="str">
        <f t="shared" si="100"/>
        <v>M16x50-HDG-8.8</v>
      </c>
      <c r="N213" s="29">
        <f t="shared" si="104"/>
        <v>2</v>
      </c>
      <c r="O213" s="29">
        <f>C213*Q2114</f>
        <v>0</v>
      </c>
      <c r="P213" s="29">
        <v>0</v>
      </c>
      <c r="Q213" s="29">
        <f t="shared" si="102"/>
        <v>4</v>
      </c>
      <c r="R213" s="29">
        <f t="shared" si="101"/>
        <v>0</v>
      </c>
    </row>
    <row r="214" spans="2:18" x14ac:dyDescent="0.25">
      <c r="B214" t="s">
        <v>730</v>
      </c>
      <c r="C214" s="29">
        <v>5</v>
      </c>
      <c r="D214" s="29" t="s">
        <v>387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3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M16x50-HDG-8.8</v>
      </c>
      <c r="N214" s="29">
        <f t="shared" si="104"/>
        <v>5</v>
      </c>
      <c r="O214" s="29">
        <f t="shared" ref="O214:O223" si="105">C214*1</f>
        <v>5</v>
      </c>
      <c r="P214" s="29">
        <v>0</v>
      </c>
      <c r="Q214" s="29">
        <f t="shared" si="102"/>
        <v>10</v>
      </c>
      <c r="R214" s="29">
        <f t="shared" si="101"/>
        <v>0</v>
      </c>
    </row>
    <row r="215" spans="2:18" x14ac:dyDescent="0.25">
      <c r="B215" t="s">
        <v>731</v>
      </c>
      <c r="C215" s="29">
        <v>5</v>
      </c>
      <c r="D215" s="29" t="s">
        <v>387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3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M16x50-HDG-8.8</v>
      </c>
      <c r="N215" s="29">
        <f t="shared" si="104"/>
        <v>5</v>
      </c>
      <c r="O215" s="29">
        <f t="shared" si="105"/>
        <v>5</v>
      </c>
      <c r="P215" s="29">
        <v>0</v>
      </c>
      <c r="Q215" s="29">
        <f t="shared" si="102"/>
        <v>10</v>
      </c>
      <c r="R215" s="29">
        <f t="shared" si="101"/>
        <v>0</v>
      </c>
    </row>
    <row r="216" spans="2:18" x14ac:dyDescent="0.25">
      <c r="B216" t="s">
        <v>732</v>
      </c>
      <c r="C216" s="29">
        <v>6</v>
      </c>
      <c r="D216" s="29" t="s">
        <v>387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3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M16x50-HDG-8.8</v>
      </c>
      <c r="N216" s="29">
        <f t="shared" si="104"/>
        <v>6</v>
      </c>
      <c r="O216" s="29">
        <f t="shared" si="105"/>
        <v>6</v>
      </c>
      <c r="P216" s="29">
        <v>0</v>
      </c>
      <c r="Q216" s="29">
        <f t="shared" si="102"/>
        <v>12</v>
      </c>
      <c r="R216" s="29">
        <f t="shared" si="101"/>
        <v>0</v>
      </c>
    </row>
    <row r="217" spans="2:18" x14ac:dyDescent="0.25">
      <c r="B217" t="s">
        <v>733</v>
      </c>
      <c r="C217" s="29">
        <v>50</v>
      </c>
      <c r="D217" s="29" t="s">
        <v>387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3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M16x50-HDG-8.8</v>
      </c>
      <c r="N217" s="29">
        <f t="shared" si="104"/>
        <v>50</v>
      </c>
      <c r="O217" s="29">
        <f t="shared" si="105"/>
        <v>50</v>
      </c>
      <c r="P217" s="29">
        <v>0</v>
      </c>
      <c r="Q217" s="29">
        <f t="shared" si="102"/>
        <v>100</v>
      </c>
      <c r="R217" s="29">
        <f t="shared" si="101"/>
        <v>0</v>
      </c>
    </row>
    <row r="218" spans="2:18" x14ac:dyDescent="0.25">
      <c r="B218" t="s">
        <v>731</v>
      </c>
      <c r="C218" s="29">
        <v>10</v>
      </c>
      <c r="D218" s="29" t="s">
        <v>387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3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M16x50-HDG-8.8</v>
      </c>
      <c r="N218" s="29">
        <f t="shared" si="104"/>
        <v>10</v>
      </c>
      <c r="O218" s="29">
        <f t="shared" si="105"/>
        <v>10</v>
      </c>
      <c r="P218" s="29">
        <v>0</v>
      </c>
      <c r="Q218" s="29">
        <f t="shared" si="102"/>
        <v>20</v>
      </c>
      <c r="R218" s="29">
        <f t="shared" si="101"/>
        <v>0</v>
      </c>
    </row>
    <row r="219" spans="2:18" x14ac:dyDescent="0.25">
      <c r="B219" t="s">
        <v>732</v>
      </c>
      <c r="C219" s="29">
        <v>5</v>
      </c>
      <c r="D219" s="29" t="s">
        <v>387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3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M16x50-HDG-8.8</v>
      </c>
      <c r="N219" s="29">
        <f t="shared" si="104"/>
        <v>5</v>
      </c>
      <c r="O219" s="29">
        <f t="shared" si="105"/>
        <v>5</v>
      </c>
      <c r="P219" s="29">
        <v>0</v>
      </c>
      <c r="Q219" s="29">
        <f t="shared" si="102"/>
        <v>10</v>
      </c>
      <c r="R219" s="29">
        <f t="shared" si="101"/>
        <v>0</v>
      </c>
    </row>
    <row r="220" spans="2:18" x14ac:dyDescent="0.25">
      <c r="B220" t="s">
        <v>734</v>
      </c>
      <c r="C220" s="29">
        <v>2</v>
      </c>
      <c r="D220" s="29" t="s">
        <v>387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3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M16x50-HDG-8.8</v>
      </c>
      <c r="N220" s="29">
        <f t="shared" si="104"/>
        <v>2</v>
      </c>
      <c r="O220" s="29">
        <f t="shared" si="105"/>
        <v>2</v>
      </c>
      <c r="P220" s="29">
        <v>0</v>
      </c>
      <c r="Q220" s="29">
        <f t="shared" si="102"/>
        <v>4</v>
      </c>
      <c r="R220" s="29">
        <f t="shared" si="101"/>
        <v>0</v>
      </c>
    </row>
    <row r="221" spans="2:18" x14ac:dyDescent="0.25">
      <c r="B221" t="s">
        <v>735</v>
      </c>
      <c r="C221" s="29">
        <v>6</v>
      </c>
      <c r="D221" s="29" t="s">
        <v>387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3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M16x50-HDG-8.8</v>
      </c>
      <c r="N221" s="29">
        <f t="shared" si="104"/>
        <v>6</v>
      </c>
      <c r="O221" s="29">
        <f t="shared" si="105"/>
        <v>6</v>
      </c>
      <c r="P221" s="29">
        <v>0</v>
      </c>
      <c r="Q221" s="29">
        <f t="shared" si="102"/>
        <v>12</v>
      </c>
      <c r="R221" s="29">
        <f t="shared" si="101"/>
        <v>0</v>
      </c>
    </row>
    <row r="222" spans="2:18" x14ac:dyDescent="0.25">
      <c r="B222" t="s">
        <v>736</v>
      </c>
      <c r="C222" s="29">
        <v>5</v>
      </c>
      <c r="D222" s="29" t="s">
        <v>387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3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M16x50-HDG-8.8</v>
      </c>
      <c r="N222" s="29">
        <f t="shared" si="104"/>
        <v>5</v>
      </c>
      <c r="O222" s="29">
        <f t="shared" si="105"/>
        <v>5</v>
      </c>
      <c r="P222" s="29">
        <v>0</v>
      </c>
      <c r="Q222" s="29">
        <f t="shared" si="102"/>
        <v>10</v>
      </c>
      <c r="R222" s="29">
        <f t="shared" si="101"/>
        <v>0</v>
      </c>
    </row>
    <row r="223" spans="2:18" x14ac:dyDescent="0.25">
      <c r="B223" t="s">
        <v>737</v>
      </c>
      <c r="C223" s="29">
        <v>2</v>
      </c>
      <c r="D223" s="29" t="s">
        <v>387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4"/>
        <v>2</v>
      </c>
      <c r="O223" s="29">
        <f t="shared" si="105"/>
        <v>2</v>
      </c>
      <c r="P223" s="29">
        <v>0</v>
      </c>
      <c r="Q223" s="29">
        <f t="shared" si="102"/>
        <v>4</v>
      </c>
      <c r="R223" s="29">
        <f t="shared" si="101"/>
        <v>0</v>
      </c>
    </row>
    <row r="224" spans="2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738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739</v>
      </c>
      <c r="C226" s="29">
        <v>120</v>
      </c>
      <c r="D226" s="29" t="s">
        <v>387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M16x50-HDG-8.8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740</v>
      </c>
      <c r="C227" s="29">
        <v>120</v>
      </c>
      <c r="D227" s="29" t="s">
        <v>387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M16x50-HDG-8.8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741</v>
      </c>
      <c r="C228" s="29">
        <v>120</v>
      </c>
      <c r="D228" s="29" t="s">
        <v>387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M16x50-HDG-8.8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742</v>
      </c>
      <c r="C229" s="29">
        <v>120</v>
      </c>
      <c r="D229" s="29" t="s">
        <v>387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M16x60-HDG-8.8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743</v>
      </c>
      <c r="C230" s="29">
        <v>50</v>
      </c>
      <c r="D230" s="29" t="s">
        <v>387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M16x50-HDG-8.8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744</v>
      </c>
      <c r="C231" s="29">
        <v>10</v>
      </c>
      <c r="D231" s="29" t="s">
        <v>387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M16x50-HDG-8.8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745</v>
      </c>
      <c r="C232" s="29">
        <v>50</v>
      </c>
      <c r="D232" s="29" t="s">
        <v>387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M16x50-HDG-8.8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746</v>
      </c>
      <c r="C233" s="29">
        <v>26</v>
      </c>
      <c r="D233" s="29" t="s">
        <v>387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M12x50-HDG-8.8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747</v>
      </c>
      <c r="C234" s="29">
        <v>26</v>
      </c>
      <c r="D234" s="29" t="s">
        <v>387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M16x50-HDG-8.8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747</v>
      </c>
      <c r="C235" s="29">
        <v>56</v>
      </c>
      <c r="D235" s="29" t="s">
        <v>387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M16x50-HDG-8.8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736</v>
      </c>
      <c r="C236" s="29">
        <v>50</v>
      </c>
      <c r="D236" s="29" t="s">
        <v>387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M16x50-HDG-8.8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721</v>
      </c>
      <c r="C237" s="29">
        <v>42</v>
      </c>
      <c r="D237" s="29" t="s">
        <v>387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M16x50-HDG-8.8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748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x14ac:dyDescent="0.25">
      <c r="B240" s="79" t="s">
        <v>749</v>
      </c>
      <c r="C240" s="73">
        <v>10</v>
      </c>
      <c r="D240" s="183" t="s">
        <v>750</v>
      </c>
      <c r="E240" s="29"/>
      <c r="F240" s="29" t="s">
        <v>24</v>
      </c>
      <c r="G240" s="183">
        <v>300</v>
      </c>
      <c r="H240" s="181"/>
      <c r="I240" s="181"/>
      <c r="J240" s="29"/>
      <c r="K240" s="29">
        <v>320</v>
      </c>
      <c r="L240" s="29">
        <v>320</v>
      </c>
      <c r="M240" s="78" t="str">
        <f>(CONCATENATE(F240,"x",L240,"-",IF(F240=$K$1,$C$4,IF(F240=$L$1,$C$4,IF(F240=$M$1,$C$4,IF(F240=$N$1,$C$4,IF(F240=$O$1,$C$4,IF(F240=$P$1,$C$5,IF(F240=$Q$1,$C$5,IF(F240=$R$1,$C$5,IF(F240=$S$1,$C$5)))))))))))</f>
        <v>M24x320-HDG-8.8</v>
      </c>
      <c r="N240" s="29">
        <f>C240*1</f>
        <v>10</v>
      </c>
      <c r="O240" s="29">
        <f>C240*2</f>
        <v>20</v>
      </c>
      <c r="P240" s="29">
        <v>0</v>
      </c>
      <c r="Q240" s="29">
        <f>C240*2</f>
        <v>20</v>
      </c>
      <c r="R240" s="29">
        <f>C240*1</f>
        <v>10</v>
      </c>
    </row>
    <row r="241" spans="2:18" x14ac:dyDescent="0.25">
      <c r="B241" s="79" t="s">
        <v>751</v>
      </c>
      <c r="C241" s="73">
        <v>20</v>
      </c>
      <c r="D241" s="180"/>
      <c r="E241" s="29"/>
      <c r="F241" s="29" t="s">
        <v>23</v>
      </c>
      <c r="G241" s="183">
        <v>250</v>
      </c>
      <c r="H241" s="181"/>
      <c r="I241" s="181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M20x270-HDG-8.8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752</v>
      </c>
      <c r="C242" s="73">
        <v>30</v>
      </c>
      <c r="D242" s="180"/>
      <c r="E242" s="29"/>
      <c r="F242" s="29" t="s">
        <v>22</v>
      </c>
      <c r="G242" s="183">
        <v>200</v>
      </c>
      <c r="H242" s="181"/>
      <c r="I242" s="181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M16x220-HDG-8.8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753</v>
      </c>
      <c r="C243" s="73">
        <v>40</v>
      </c>
      <c r="D243" s="180"/>
      <c r="E243" s="29"/>
      <c r="F243" s="29" t="s">
        <v>21</v>
      </c>
      <c r="G243" s="183">
        <v>200</v>
      </c>
      <c r="H243" s="181"/>
      <c r="I243" s="181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M12x220-HDG-8.8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3538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8" t="s">
        <v>754</v>
      </c>
      <c r="C249" s="160" t="s">
        <v>755</v>
      </c>
      <c r="D249" s="160" t="s">
        <v>756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8" t="s">
        <v>757</v>
      </c>
      <c r="C250" s="194" t="s">
        <v>758</v>
      </c>
      <c r="D250" s="159">
        <f>CL52</f>
        <v>0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8" t="s">
        <v>759</v>
      </c>
      <c r="C251" s="193"/>
      <c r="D251" s="159">
        <f>CR52</f>
        <v>2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8" t="s">
        <v>760</v>
      </c>
      <c r="C252" s="161" t="s">
        <v>758</v>
      </c>
      <c r="D252" s="159">
        <f>CV29</f>
        <v>0</v>
      </c>
    </row>
    <row r="253" spans="2:18" x14ac:dyDescent="0.25">
      <c r="B253" s="158" t="s">
        <v>761</v>
      </c>
      <c r="C253" s="193"/>
      <c r="D253" s="159">
        <f>DB29</f>
        <v>0</v>
      </c>
    </row>
    <row r="254" spans="2:18" x14ac:dyDescent="0.25">
      <c r="B254" s="158" t="s">
        <v>421</v>
      </c>
      <c r="C254" s="7">
        <f>N246</f>
        <v>3538</v>
      </c>
      <c r="D254" s="159">
        <f>SUM(D250:D253)</f>
        <v>2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DB15:DE15"/>
    <mergeCell ref="G41:I41"/>
    <mergeCell ref="CV15:CY15"/>
    <mergeCell ref="CV24:CY24"/>
    <mergeCell ref="DB21:DE21"/>
    <mergeCell ref="CP14:CS14"/>
    <mergeCell ref="CJ30:CM30"/>
    <mergeCell ref="CP23:CS23"/>
    <mergeCell ref="DB23:DE23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DB19:DE19"/>
    <mergeCell ref="DB28:DE28"/>
    <mergeCell ref="DB26:DE26"/>
    <mergeCell ref="CP16:CS16"/>
    <mergeCell ref="CU13:CY13"/>
    <mergeCell ref="DB14:DE14"/>
    <mergeCell ref="CO6:CS6"/>
    <mergeCell ref="DA6:DE6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</mergeCells>
  <dataValidations count="20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57:C64 C111 C152:C153 C156 C160 C173 C177 C190 C19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161"/>
      <c r="E2" s="169"/>
      <c r="F2" s="174" t="s">
        <v>0</v>
      </c>
      <c r="G2" s="200"/>
      <c r="H2" s="169"/>
      <c r="I2" s="107" t="s">
        <v>1</v>
      </c>
      <c r="J2" s="108"/>
      <c r="K2" s="108"/>
      <c r="L2" s="109"/>
    </row>
    <row r="3" spans="2:14" ht="17.45" customHeight="1" x14ac:dyDescent="0.25">
      <c r="D3" s="170"/>
      <c r="E3" s="165"/>
      <c r="F3" s="170"/>
      <c r="G3" s="186"/>
      <c r="H3" s="165"/>
      <c r="I3" s="95" t="s">
        <v>2</v>
      </c>
      <c r="J3" s="94"/>
      <c r="K3" s="94"/>
      <c r="L3" s="110"/>
    </row>
    <row r="4" spans="2:14" ht="17.45" customHeight="1" x14ac:dyDescent="0.25">
      <c r="D4" s="171"/>
      <c r="E4" s="168"/>
      <c r="F4" s="171"/>
      <c r="G4" s="167"/>
      <c r="H4" s="168"/>
      <c r="I4" s="114" t="s">
        <v>3</v>
      </c>
      <c r="J4" s="164" t="str">
        <f>'TANK HARDWARE'!K6</f>
        <v>XX.XX.XX</v>
      </c>
      <c r="K4" s="186"/>
      <c r="L4" s="165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161"/>
      <c r="E7" s="163"/>
      <c r="F7" s="172" t="s">
        <v>762</v>
      </c>
      <c r="G7" s="163"/>
      <c r="H7" s="166"/>
      <c r="I7" s="167"/>
      <c r="J7" s="167"/>
      <c r="K7" s="167"/>
      <c r="L7" s="168"/>
    </row>
    <row r="8" spans="2:14" x14ac:dyDescent="0.25">
      <c r="D8" s="207" t="s">
        <v>763</v>
      </c>
      <c r="E8" s="163"/>
      <c r="F8" s="112" t="s">
        <v>764</v>
      </c>
      <c r="G8" s="112" t="s">
        <v>765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766</v>
      </c>
    </row>
    <row r="9" spans="2:14" x14ac:dyDescent="0.25">
      <c r="B9" s="3" t="s">
        <v>82</v>
      </c>
      <c r="D9" s="203" t="str">
        <f>'TANK HARDWARE'!B14</f>
        <v>VALVES &amp; FLANGE JOINTS (T-20 / T-21 / T-25)</v>
      </c>
      <c r="E9" s="206"/>
      <c r="F9" s="186"/>
      <c r="G9" s="186"/>
      <c r="H9" s="186"/>
      <c r="I9" s="186"/>
      <c r="J9" s="186"/>
      <c r="K9" s="186"/>
      <c r="L9" s="165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177" t="str">
        <f>'TANK HARDWARE'!B15</f>
        <v xml:space="preserve">15NB GATE VALVE ASSEMBLY (SAMPLING) </v>
      </c>
      <c r="E10" s="163"/>
      <c r="F10" s="7" t="str">
        <f>'TANK HARDWARE'!M15</f>
        <v>M12x35-HDG-8.8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177" t="str">
        <f>'TANK HARDWARE'!B16</f>
        <v>25NB GATE VALVE ASSEMBLY (SAMPLING/DGA/NIFPS/ODS)</v>
      </c>
      <c r="E11" s="163"/>
      <c r="F11" s="7" t="str">
        <f>'TANK HARDWARE'!M16</f>
        <v>M12x50-HDG-8.8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177" t="str">
        <f>'TANK HARDWARE'!B17</f>
        <v xml:space="preserve">50NB GATE VALVE ASSEMBLY (TOP &amp; BOTTOM FILTER) </v>
      </c>
      <c r="E12" s="163"/>
      <c r="F12" s="7" t="str">
        <f>'TANK HARDWARE'!M17</f>
        <v>M16x60-HDG-8.8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177" t="str">
        <f>'TANK HARDWARE'!B18</f>
        <v xml:space="preserve">80NB GATE VALVE ASSEMBLY (BOTTOM DRAIN) </v>
      </c>
      <c r="E13" s="163"/>
      <c r="F13" s="7" t="str">
        <f>'TANK HARDWARE'!M18</f>
        <v>M16x60-HDG-8.8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177" t="str">
        <f>'TANK HARDWARE'!B19</f>
        <v>100NB GATE VALVE ASSEMBLY (BOTTOM/QUICK DRAIN)</v>
      </c>
      <c r="E14" s="163"/>
      <c r="F14" s="7" t="str">
        <f>'TANK HARDWARE'!M19</f>
        <v>M16x60-HDG-8.8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177" t="str">
        <f>'TANK HARDWARE'!B20</f>
        <v>125NB GATE VALVE ASSEMBLY (NIFPS QUICK DRAIN)</v>
      </c>
      <c r="E15" s="163"/>
      <c r="F15" s="7" t="str">
        <f>'TANK HARDWARE'!M20</f>
        <v>M16x80-HDG-8.8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177" t="str">
        <f>'TANK HARDWARE'!B21</f>
        <v>150NB GATE VALVE ASSEMBLY (COOLING/DRAIN)</v>
      </c>
      <c r="E16" s="163"/>
      <c r="F16" s="7" t="str">
        <f>'TANK HARDWARE'!M21</f>
        <v>M20x80-HDG-8.8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177" t="str">
        <f>'TANK HARDWARE'!B22</f>
        <v>200NB GATE VALVE ASSEMBLY (COOLING/DRAIN)</v>
      </c>
      <c r="E17" s="163"/>
      <c r="F17" s="7" t="str">
        <f>'TANK HARDWARE'!M22</f>
        <v>M20x80-HDG-8.8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177" t="str">
        <f>'TANK HARDWARE'!B23</f>
        <v>80NB BUTTERFLY VALVE ASSEMBLY (VACUUM BREAK)</v>
      </c>
      <c r="E18" s="163"/>
      <c r="F18" s="7" t="str">
        <f>'TANK HARDWARE'!M23</f>
        <v>M16-STUDx140-HDG-8.8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177" t="str">
        <f>'TANK HARDWARE'!B24</f>
        <v>100NB BUTTERFLY VALVE ASSEMBLY</v>
      </c>
      <c r="E19" s="163"/>
      <c r="F19" s="7" t="str">
        <f>'TANK HARDWARE'!M24</f>
        <v>M16-STUDx140-HDG-8.8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177" t="str">
        <f>'TANK HARDWARE'!B25</f>
        <v>125NB BUTTERFLY VALVE ASSEMBLY (NIFPS QUICK DRAIN)</v>
      </c>
      <c r="E20" s="163"/>
      <c r="F20" s="7" t="str">
        <f>'TANK HARDWARE'!M25</f>
        <v>M16-STUDx150-HDG-8.8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177" t="str">
        <f>'TANK HARDWARE'!B26</f>
        <v>150NB BUTTERFLY VALVE ASSEMBLY</v>
      </c>
      <c r="E21" s="163"/>
      <c r="F21" s="7" t="str">
        <f>'TANK HARDWARE'!M26</f>
        <v>M20-STUDx160-HDG-8.8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177" t="str">
        <f>'TANK HARDWARE'!B27</f>
        <v>200NB BUTTERFLY VALVE ASSEMBLY</v>
      </c>
      <c r="E22" s="163"/>
      <c r="F22" s="7" t="str">
        <f>'TANK HARDWARE'!M27</f>
        <v>M20-STUDx160-HDG-8.8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177" t="str">
        <f>'TANK HARDWARE'!B28</f>
        <v>NO OF 15NB FLANGE JOINTS</v>
      </c>
      <c r="E23" s="163"/>
      <c r="F23" s="7" t="str">
        <f>'TANK HARDWARE'!M28</f>
        <v>M12x50-HDG-8.8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177" t="str">
        <f>'TANK HARDWARE'!B29</f>
        <v>NO OF 50NB FLANGE JOINTS</v>
      </c>
      <c r="E24" s="163"/>
      <c r="F24" s="7" t="str">
        <f>'TANK HARDWARE'!M29</f>
        <v>M16x60-HDG-8.8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177" t="str">
        <f>'TANK HARDWARE'!B30</f>
        <v>NO OF 80NB FLANGE JOINTS (RADIATOR FLANGE)</v>
      </c>
      <c r="E25" s="163"/>
      <c r="F25" s="7" t="str">
        <f>'TANK HARDWARE'!M30</f>
        <v>M16x70-HDG-8.8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177" t="str">
        <f>'TANK HARDWARE'!B31</f>
        <v>NO OF 125NB FLANGE JOINTS</v>
      </c>
      <c r="E26" s="163"/>
      <c r="F26" s="7" t="str">
        <f>'TANK HARDWARE'!M31</f>
        <v>M16x70-HDG-8.8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177" t="str">
        <f>'TANK HARDWARE'!B32</f>
        <v>NO OF 150NB FLANGE JOINTS</v>
      </c>
      <c r="E27" s="163"/>
      <c r="F27" s="7" t="str">
        <f>'TANK HARDWARE'!M32</f>
        <v>M20x80-HDG-8.8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177" t="str">
        <f>'TANK HARDWARE'!B33</f>
        <v>NO OF 200NB FLANGE JOINTS</v>
      </c>
      <c r="E28" s="163"/>
      <c r="F28" s="7" t="str">
        <f>'TANK HARDWARE'!M33</f>
        <v>M20x80-HDG-8.8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177" t="str">
        <f>'TANK HARDWARE'!B34</f>
        <v>NO OF 250NB FLANGE JOINTS</v>
      </c>
      <c r="E29" s="163"/>
      <c r="F29" s="7" t="str">
        <f>'TANK HARDWARE'!M34</f>
        <v>M20x90-HDG-8.8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01"/>
      <c r="E30" s="163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03" t="str">
        <f>'TANK HARDWARE'!B36</f>
        <v>TANK (T-01 / T-44 / T-48/ T-06)</v>
      </c>
      <c r="E31" s="165"/>
      <c r="F31" s="203"/>
      <c r="G31" s="186"/>
      <c r="H31" s="186"/>
      <c r="I31" s="186"/>
      <c r="J31" s="186"/>
      <c r="K31" s="186"/>
      <c r="L31" s="204"/>
      <c r="M31" s="181"/>
      <c r="N31" s="165"/>
    </row>
    <row r="32" spans="2:14" x14ac:dyDescent="0.25">
      <c r="B32" s="3">
        <f t="shared" si="0"/>
        <v>1</v>
      </c>
      <c r="C32" s="3">
        <f t="shared" si="2"/>
        <v>1</v>
      </c>
      <c r="D32" s="201" t="str">
        <f>'TANK HARDWARE'!B37</f>
        <v>CURB BOLT ASM</v>
      </c>
      <c r="E32" s="163"/>
      <c r="F32" s="7" t="str">
        <f>'TANK HARDWARE'!M37</f>
        <v>M24x100-HDG-8.8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01" t="str">
        <f>'TANK HARDWARE'!B38</f>
        <v>ROLLER MOUNTING PAD</v>
      </c>
      <c r="E33" s="163"/>
      <c r="F33" s="7" t="str">
        <f>'TANK HARDWARE'!M38</f>
        <v>M20x90-HDG-8.8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1</v>
      </c>
      <c r="C34" s="3">
        <f t="shared" si="2"/>
        <v>3</v>
      </c>
      <c r="D34" s="177" t="str">
        <f>'TANK HARDWARE'!B39</f>
        <v xml:space="preserve">HVN TURRET ASSEMBLY - WELDED </v>
      </c>
      <c r="E34" s="169"/>
      <c r="F34" s="7" t="str">
        <f>'TANK HARDWARE'!M39</f>
        <v>M12x60-HDG-8.8</v>
      </c>
      <c r="G34" s="113">
        <f>'TANK HARDWARE'!N39</f>
        <v>24</v>
      </c>
      <c r="H34" s="113">
        <f>'TANK HARDWARE'!O39</f>
        <v>24</v>
      </c>
      <c r="I34" s="113">
        <f>'TANK HARDWARE'!Q39</f>
        <v>48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1</v>
      </c>
      <c r="C35" s="3">
        <f t="shared" si="2"/>
        <v>4</v>
      </c>
      <c r="D35" s="170"/>
      <c r="E35" s="165"/>
      <c r="F35" s="7" t="str">
        <f>'TANK HARDWARE'!M40</f>
        <v>M12x50-HDG-8.8</v>
      </c>
      <c r="G35" s="113">
        <f>'TANK HARDWARE'!N40</f>
        <v>22</v>
      </c>
      <c r="H35" s="113">
        <f>'TANK HARDWARE'!O40</f>
        <v>22</v>
      </c>
      <c r="I35" s="113">
        <f>'TANK HARDWARE'!Q40</f>
        <v>44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5</v>
      </c>
      <c r="D36" s="170"/>
      <c r="E36" s="165"/>
      <c r="F36" s="7" t="str">
        <f>'TANK HARDWARE'!M41</f>
        <v>M12-STUDx85-HDG-8.8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6</v>
      </c>
      <c r="D37" s="171"/>
      <c r="E37" s="168"/>
      <c r="F37" s="7" t="str">
        <f>'TANK HARDWARE'!M42</f>
        <v>M16x60-HDG-8.8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7</v>
      </c>
      <c r="D38" s="177" t="str">
        <f>'TANK HARDWARE'!B43</f>
        <v>HVN TURRET ASSEMBLY - SPLIT (PSD-650)</v>
      </c>
      <c r="E38" s="169"/>
      <c r="F38" s="7" t="str">
        <f>'TANK HARDWARE'!M43</f>
        <v>M16x70-HDG-8.8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8</v>
      </c>
      <c r="D39" s="170"/>
      <c r="E39" s="165"/>
      <c r="F39" s="7" t="str">
        <f>'TANK HARDWARE'!M44</f>
        <v>M12x60-HDG-8.8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9</v>
      </c>
      <c r="D40" s="170"/>
      <c r="E40" s="165"/>
      <c r="F40" s="7" t="str">
        <f>'TANK HARDWARE'!M45</f>
        <v>M16-STUDx75-HDG-8.8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10</v>
      </c>
      <c r="D41" s="170"/>
      <c r="E41" s="165"/>
      <c r="F41" s="7" t="str">
        <f>'TANK HARDWARE'!M46</f>
        <v>M16x75-HDG-8.8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11</v>
      </c>
      <c r="D42" s="171"/>
      <c r="E42" s="168"/>
      <c r="F42" s="7" t="str">
        <f>'TANK HARDWARE'!M47</f>
        <v>M16x60-HDG-8.8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12</v>
      </c>
      <c r="D43" s="177" t="str">
        <f>'TANK HARDWARE'!B48</f>
        <v>LVN TURRET ASSEMBLY - WELDED (PSD-649)</v>
      </c>
      <c r="E43" s="169"/>
      <c r="F43" s="7" t="str">
        <f>'TANK HARDWARE'!M48</f>
        <v>M12x60-HDG-8.8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13</v>
      </c>
      <c r="D44" s="170"/>
      <c r="E44" s="165"/>
      <c r="F44" s="7" t="str">
        <f>'TANK HARDWARE'!M49</f>
        <v>M12x60-HDG-8.8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14</v>
      </c>
      <c r="D45" s="170"/>
      <c r="E45" s="165"/>
      <c r="F45" s="7" t="str">
        <f>'TANK HARDWARE'!M50</f>
        <v>M10-STUDx75-HDG-8.8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15</v>
      </c>
      <c r="D46" s="171"/>
      <c r="E46" s="168"/>
      <c r="F46" s="7" t="str">
        <f>'TANK HARDWARE'!M51</f>
        <v>M16x60-HDG-8.8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16</v>
      </c>
      <c r="D47" s="177" t="str">
        <f>'TANK HARDWARE'!B52</f>
        <v>LVN TURRET ASSEMBLY - SPLIT (PSD-650)</v>
      </c>
      <c r="E47" s="169"/>
      <c r="F47" s="7" t="str">
        <f>'TANK HARDWARE'!M52</f>
        <v>M12x60-HDG-8.8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17</v>
      </c>
      <c r="D48" s="170"/>
      <c r="E48" s="165"/>
      <c r="F48" s="7" t="str">
        <f>'TANK HARDWARE'!M53</f>
        <v>M12x60-HDG-8.8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18</v>
      </c>
      <c r="D49" s="170"/>
      <c r="E49" s="165"/>
      <c r="F49" s="7" t="str">
        <f>'TANK HARDWARE'!M54</f>
        <v>M10-STUDx75-HDG-8.8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19</v>
      </c>
      <c r="D50" s="170"/>
      <c r="E50" s="165"/>
      <c r="F50" s="7" t="str">
        <f>'TANK HARDWARE'!M55</f>
        <v>M12x75-HDG-8.8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20</v>
      </c>
      <c r="D51" s="171"/>
      <c r="E51" s="168"/>
      <c r="F51" s="7" t="str">
        <f>'TANK HARDWARE'!M56</f>
        <v>M16x60-HDG-8.8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21</v>
      </c>
      <c r="D52" s="177" t="str">
        <f>'TANK HARDWARE'!B57</f>
        <v xml:space="preserve">OLTC INSPECTION COVER ASM - HV SIDE </v>
      </c>
      <c r="E52" s="163"/>
      <c r="F52" s="7" t="str">
        <f>'TANK HARDWARE'!M57</f>
        <v>M12-STUDx60-HDG-8.8</v>
      </c>
      <c r="G52" s="113">
        <f>'TANK HARDWARE'!N57</f>
        <v>0</v>
      </c>
      <c r="H52" s="113">
        <f>'TANK HARDWARE'!O57</f>
        <v>16</v>
      </c>
      <c r="I52" s="113">
        <f>'TANK HARDWARE'!Q57</f>
        <v>16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22</v>
      </c>
      <c r="D53" s="177" t="str">
        <f>'TANK HARDWARE'!B58</f>
        <v>OLTC INSPECTION COVER ASM - LV SIDE - 1</v>
      </c>
      <c r="E53" s="163"/>
      <c r="F53" s="7" t="str">
        <f>'TANK HARDWARE'!M58</f>
        <v>M12-STUDx60-HDG-8.8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23</v>
      </c>
      <c r="D54" s="177" t="str">
        <f>'TANK HARDWARE'!B59</f>
        <v>OLTC INSPECTION COVER ASM - LV SIDE - 2</v>
      </c>
      <c r="E54" s="163"/>
      <c r="F54" s="7" t="str">
        <f>'TANK HARDWARE'!M59</f>
        <v>M12-STUDx60-HDG-8.8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24</v>
      </c>
      <c r="D55" s="177" t="str">
        <f>'TANK HARDWARE'!B60</f>
        <v>INSPECTION COVER ASM - HV BUSHING</v>
      </c>
      <c r="E55" s="163"/>
      <c r="F55" s="7" t="str">
        <f>'TANK HARDWARE'!M60</f>
        <v>M12-STUDx60-HDG-8.8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25</v>
      </c>
      <c r="D56" s="177" t="str">
        <f>'TANK HARDWARE'!B61</f>
        <v xml:space="preserve">INSPECTION COVER ASM - IV BUSHING </v>
      </c>
      <c r="E56" s="163"/>
      <c r="F56" s="7" t="str">
        <f>'TANK HARDWARE'!M61</f>
        <v>M12-STUDx60-HDG-8.8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26</v>
      </c>
      <c r="D57" s="177" t="str">
        <f>'TANK HARDWARE'!B62</f>
        <v>INSPECTION COVER ASM - LV BUSHING</v>
      </c>
      <c r="E57" s="163"/>
      <c r="F57" s="7" t="str">
        <f>'TANK HARDWARE'!M62</f>
        <v>M12-STUDx60-HDG-8.8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27</v>
      </c>
      <c r="D58" s="177" t="str">
        <f>'TANK HARDWARE'!B63</f>
        <v xml:space="preserve">INSPECTION COVER ASM - HVN BUSHING </v>
      </c>
      <c r="E58" s="163"/>
      <c r="F58" s="7" t="str">
        <f>'TANK HARDWARE'!M63</f>
        <v>M12-STUDx60-HDG-8.8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28</v>
      </c>
      <c r="D59" s="177" t="str">
        <f>'TANK HARDWARE'!B64</f>
        <v xml:space="preserve">INSPECTION COVER ASM - LVN BUSHING </v>
      </c>
      <c r="E59" s="163"/>
      <c r="F59" s="7" t="str">
        <f>'TANK HARDWARE'!M64</f>
        <v>M12-STUDx60-HDG-8.8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29</v>
      </c>
      <c r="D60" s="177" t="str">
        <f>'TANK HARDWARE'!B65</f>
        <v xml:space="preserve">TRANSPORT OIL LEVEL GAUGE </v>
      </c>
      <c r="E60" s="163"/>
      <c r="F60" s="7" t="str">
        <f>'TANK HARDWARE'!M65</f>
        <v>M8-STUDx50-HDG-8.8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30</v>
      </c>
      <c r="D61" s="177" t="str">
        <f>'TANK HARDWARE'!B66</f>
        <v xml:space="preserve">LADDER ASSEMBLY </v>
      </c>
      <c r="E61" s="169"/>
      <c r="F61" s="7" t="str">
        <f>'TANK HARDWARE'!M66</f>
        <v>M12x50-HDG-8.8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31</v>
      </c>
      <c r="D62" s="171"/>
      <c r="E62" s="168"/>
      <c r="F62" s="7" t="str">
        <f>'TANK HARDWARE'!M67</f>
        <v>M8x40-HDG-8.8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32</v>
      </c>
      <c r="D63" s="177" t="str">
        <f>'TANK HARDWARE'!B68</f>
        <v xml:space="preserve">N2 CYLINDER MOUTING ASSEMBLY </v>
      </c>
      <c r="E63" s="163"/>
      <c r="F63" s="7" t="str">
        <f>'TANK HARDWARE'!M68</f>
        <v>M12x60-HDG-8.8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33</v>
      </c>
      <c r="D64" s="177" t="str">
        <f>'TANK HARDWARE'!B69</f>
        <v xml:space="preserve">AUTOMATIC PRESSURE REGULATOR MTG </v>
      </c>
      <c r="E64" s="163"/>
      <c r="F64" s="7" t="str">
        <f>'TANK HARDWARE'!M69</f>
        <v>M12x60-HDG-8.8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34</v>
      </c>
      <c r="D65" s="177" t="str">
        <f>'TANK HARDWARE'!B70</f>
        <v>INDOTECH NAME PLATE ASSEMBLY</v>
      </c>
      <c r="E65" s="169"/>
      <c r="F65" s="7" t="str">
        <f>'TANK HARDWARE'!M70</f>
        <v>M12x40-HDG-8.8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35</v>
      </c>
      <c r="D66" s="171"/>
      <c r="E66" s="168"/>
      <c r="F66" s="7" t="str">
        <f>'TANK HARDWARE'!M71</f>
        <v>M5x30-HDG-8.8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36</v>
      </c>
      <c r="D67" s="177" t="str">
        <f>'TANK HARDWARE'!B72</f>
        <v>PIN INSULATOR SUPPORT (SD-48) HVN</v>
      </c>
      <c r="E67" s="163"/>
      <c r="F67" s="7" t="str">
        <f>'TANK HARDWARE'!M72</f>
        <v>M12x50-HDG-8.8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37</v>
      </c>
      <c r="D68" s="177" t="str">
        <f>'TANK HARDWARE'!B73</f>
        <v>PIN INSULATOR SUPPORT (SD-48) LVN</v>
      </c>
      <c r="E68" s="163"/>
      <c r="F68" s="7" t="str">
        <f>'TANK HARDWARE'!M73</f>
        <v>M12x50-HDG-8.8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38</v>
      </c>
      <c r="D69" s="177" t="str">
        <f>'TANK HARDWARE'!B74</f>
        <v>PIN INSULATOR SUPPORT (SD-48) TVN</v>
      </c>
      <c r="E69" s="163"/>
      <c r="F69" s="7" t="str">
        <f>'TANK HARDWARE'!M74</f>
        <v>M12x50-HDG-8.8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39</v>
      </c>
      <c r="D70" s="177" t="str">
        <f>'TANK HARDWARE'!B75</f>
        <v xml:space="preserve">RATING PLATE </v>
      </c>
      <c r="E70" s="169"/>
      <c r="F70" s="7" t="str">
        <f>'TANK HARDWARE'!M75</f>
        <v>M10x40-HDG-8.8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40</v>
      </c>
      <c r="D71" s="171"/>
      <c r="E71" s="168"/>
      <c r="F71" s="7" t="str">
        <f>'TANK HARDWARE'!M76</f>
        <v>M4x30-HDG-8.8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41</v>
      </c>
      <c r="D72" s="177" t="str">
        <f>'TANK HARDWARE'!B77</f>
        <v xml:space="preserve">VALVE SCHEDULE PLATE </v>
      </c>
      <c r="E72" s="169"/>
      <c r="F72" s="7" t="str">
        <f>'TANK HARDWARE'!M77</f>
        <v>M10x40-HDG-8.8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42</v>
      </c>
      <c r="D73" s="171"/>
      <c r="E73" s="168"/>
      <c r="F73" s="7" t="str">
        <f>'TANK HARDWARE'!M78</f>
        <v>M4x30-HDG-8.8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177"/>
      <c r="E74" s="163"/>
      <c r="F74" s="7"/>
      <c r="G74" s="113"/>
      <c r="H74" s="113"/>
      <c r="I74" s="113"/>
      <c r="J74" s="7" t="s">
        <v>249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43</v>
      </c>
      <c r="D75" s="177" t="str">
        <f>'TANK HARDWARE'!B79</f>
        <v xml:space="preserve">OIL FILLING INSTRUCTION PLATE </v>
      </c>
      <c r="E75" s="169"/>
      <c r="F75" s="7" t="str">
        <f>'TANK HARDWARE'!M79</f>
        <v>M10x40-HDG-8.8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44</v>
      </c>
      <c r="D76" s="171"/>
      <c r="E76" s="168"/>
      <c r="F76" s="7" t="str">
        <f>'TANK HARDWARE'!M80</f>
        <v>M4x30-HDG-8.8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45</v>
      </c>
      <c r="D77" s="177" t="str">
        <f>'TANK HARDWARE'!B81</f>
        <v>DO'S &amp; DONT'S PLATE SUPPORT</v>
      </c>
      <c r="E77" s="169"/>
      <c r="F77" s="7" t="str">
        <f>'TANK HARDWARE'!M81</f>
        <v>M10x40-HDG-8.8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46</v>
      </c>
      <c r="D78" s="171"/>
      <c r="E78" s="168"/>
      <c r="F78" s="7" t="str">
        <f>'TANK HARDWARE'!M82</f>
        <v>M4x30-HDG-8.8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47</v>
      </c>
      <c r="D79" s="177" t="str">
        <f>'TANK HARDWARE'!B83</f>
        <v>BCT PLATE SUPPORT</v>
      </c>
      <c r="E79" s="169"/>
      <c r="F79" s="7" t="str">
        <f>'TANK HARDWARE'!M83</f>
        <v>M10x40-HDG-8.8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48</v>
      </c>
      <c r="D80" s="171"/>
      <c r="E80" s="168"/>
      <c r="F80" s="7" t="str">
        <f>'TANK HARDWARE'!M84</f>
        <v>M4x30-HDG-8.8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49</v>
      </c>
      <c r="D81" s="201" t="str">
        <f>'TANK HARDWARE'!B85</f>
        <v>GAS COLLECTING SUPPORT</v>
      </c>
      <c r="E81" s="163"/>
      <c r="F81" s="7" t="str">
        <f>'TANK HARDWARE'!M85</f>
        <v>M8x40-HDG-8.8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50</v>
      </c>
      <c r="D82" s="201" t="str">
        <f>'TANK HARDWARE'!B86</f>
        <v xml:space="preserve">EARTHING BOSS </v>
      </c>
      <c r="E82" s="163"/>
      <c r="F82" s="7" t="str">
        <f>'TANK HARDWARE'!M86</f>
        <v>M12-STUDx40-HDG-8.8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51</v>
      </c>
      <c r="D83" s="201" t="str">
        <f>'TANK HARDWARE'!B87</f>
        <v xml:space="preserve">EARTHING BOSS </v>
      </c>
      <c r="E83" s="163"/>
      <c r="F83" s="7" t="str">
        <f>'TANK HARDWARE'!M87</f>
        <v>M10-STUDx30-HDG-8.8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52</v>
      </c>
      <c r="D84" s="205" t="str">
        <f>'TANK HARDWARE'!B88</f>
        <v xml:space="preserve">IMPACT RECORDER ASSEMBLY </v>
      </c>
      <c r="E84" s="169"/>
      <c r="F84" s="7" t="str">
        <f>'TANK HARDWARE'!M88</f>
        <v>M10x40-HDG-8.8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53</v>
      </c>
      <c r="D85" s="201" t="str">
        <f>'TANK HARDWARE'!B89</f>
        <v>NIFPS SIGNAL BOX ASSEMBLY</v>
      </c>
      <c r="E85" s="163"/>
      <c r="F85" s="7" t="str">
        <f>'TANK HARDWARE'!M89</f>
        <v>M12x50-HDG-8.8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53</v>
      </c>
      <c r="D86" s="201" t="str">
        <f>'TANK HARDWARE'!B90</f>
        <v>TANK SHUNT ASSEMBLY (EARTHING BOLT)</v>
      </c>
      <c r="E86" s="163"/>
      <c r="F86" s="7" t="str">
        <f>'TANK HARDWARE'!M90</f>
        <v>M8x35-HDG-8.8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54</v>
      </c>
      <c r="D87" s="177" t="str">
        <f>'TANK HARDWARE'!B91</f>
        <v xml:space="preserve">OLTC CONSERVATOR WITH MOG </v>
      </c>
      <c r="E87" s="169"/>
      <c r="F87" s="7" t="str">
        <f>'TANK HARDWARE'!M91</f>
        <v>M16x55-HDG-8.8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55</v>
      </c>
      <c r="D88" s="170"/>
      <c r="E88" s="165"/>
      <c r="F88" s="7" t="str">
        <f>'TANK HARDWARE'!M92</f>
        <v>M10x40-HDG-8.8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56</v>
      </c>
      <c r="D89" s="170"/>
      <c r="E89" s="165"/>
      <c r="F89" s="7" t="str">
        <f>'TANK HARDWARE'!M93</f>
        <v>M12x50-HDG-8.8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57</v>
      </c>
      <c r="D90" s="171"/>
      <c r="E90" s="168"/>
      <c r="F90" s="7" t="str">
        <f>'TANK HARDWARE'!M94</f>
        <v>M10-STUDx40-HDG-8.8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58</v>
      </c>
      <c r="D91" s="177" t="str">
        <f>'TANK HARDWARE'!B95</f>
        <v xml:space="preserve">OLTC CONSERVATOR WITH NO MOG </v>
      </c>
      <c r="E91" s="169"/>
      <c r="F91" s="7" t="str">
        <f>'TANK HARDWARE'!M95</f>
        <v>M16x60-HDG-8.8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59</v>
      </c>
      <c r="D92" s="170"/>
      <c r="E92" s="165"/>
      <c r="F92" s="7" t="str">
        <f>'TANK HARDWARE'!M96</f>
        <v>M10x40-HDG-8.8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60</v>
      </c>
      <c r="D93" s="171"/>
      <c r="E93" s="168"/>
      <c r="F93" s="7" t="str">
        <f>'TANK HARDWARE'!M97</f>
        <v>M12x50-HDG-8.8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61</v>
      </c>
      <c r="D94" s="177" t="str">
        <f>'TANK HARDWARE'!B98</f>
        <v xml:space="preserve">PRV DRAIN PIPE ASSEMBLY </v>
      </c>
      <c r="E94" s="169"/>
      <c r="F94" s="7" t="str">
        <f>'TANK HARDWARE'!M98</f>
        <v>M16x50-HDG-8.8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62</v>
      </c>
      <c r="D95" s="171"/>
      <c r="E95" s="168"/>
      <c r="F95" s="7" t="str">
        <f>'TANK HARDWARE'!M99</f>
        <v>M16x50-HDG-8.8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63</v>
      </c>
      <c r="D96" s="177" t="str">
        <f>'TANK HARDWARE'!B100</f>
        <v>RADIATOR TIE BAR ASSEMBLY</v>
      </c>
      <c r="E96" s="169"/>
      <c r="F96" s="7" t="str">
        <f>'TANK HARDWARE'!M100</f>
        <v>M20x70-HDG-8.8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64</v>
      </c>
      <c r="D97" s="171"/>
      <c r="E97" s="168"/>
      <c r="F97" s="7" t="str">
        <f>'TANK HARDWARE'!M101</f>
        <v>M16-STUDx30-HDG-8.8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65</v>
      </c>
      <c r="D98" s="177" t="str">
        <f>'TANK HARDWARE'!B102</f>
        <v>RADIATOR TIE FLAT</v>
      </c>
      <c r="E98" s="163"/>
      <c r="F98" s="7" t="str">
        <f>'TANK HARDWARE'!M102</f>
        <v>M16x60-HDG-8.8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66</v>
      </c>
      <c r="D99" s="177" t="str">
        <f>'TANK HARDWARE'!B103</f>
        <v>BEVEL GEAR SUPPORT TO TANK ( ESUN )</v>
      </c>
      <c r="E99" s="163"/>
      <c r="F99" s="7" t="str">
        <f>'TANK HARDWARE'!M103</f>
        <v>M16x50-HDG-8.8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67</v>
      </c>
      <c r="D100" s="95" t="str">
        <f>'TANK HARDWARE'!B104</f>
        <v>IMMEDIATE BEVEL GEAR SUPPORT TO TANK</v>
      </c>
      <c r="E100" s="110"/>
      <c r="F100" s="7" t="str">
        <f>'TANK HARDWARE'!M104</f>
        <v>M12x50-HDG-8.8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68</v>
      </c>
      <c r="D101" s="177" t="str">
        <f>'TANK HARDWARE'!B105</f>
        <v>OLTC MD ASSEMBLY</v>
      </c>
      <c r="E101" s="163"/>
      <c r="F101" s="7" t="str">
        <f>'TANK HARDWARE'!M105</f>
        <v>M16x50-HDG-8.8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69</v>
      </c>
      <c r="D102" s="177" t="str">
        <f>'TANK HARDWARE'!B106</f>
        <v>OLTC BEVEL GEAR ASSEMBLY</v>
      </c>
      <c r="E102" s="163"/>
      <c r="F102" s="7" t="str">
        <f>'TANK HARDWARE'!M106</f>
        <v>M16x60-HDG-8.8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70</v>
      </c>
      <c r="D103" s="177" t="str">
        <f>'TANK HARDWARE'!B107</f>
        <v>OLTC INTERMEDIATE SUPPORT</v>
      </c>
      <c r="E103" s="163"/>
      <c r="F103" s="7" t="str">
        <f>'TANK HARDWARE'!M107</f>
        <v>M16x60-HDG-8.8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71</v>
      </c>
      <c r="D104" s="177" t="str">
        <f>'TANK HARDWARE'!B108</f>
        <v>HV NEUTRAL EARTHING FLAT CONN. ASM</v>
      </c>
      <c r="E104" s="163"/>
      <c r="F104" s="7" t="str">
        <f>'TANK HARDWARE'!M108</f>
        <v>M12x50-HDG-8.8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72</v>
      </c>
      <c r="D105" s="177" t="str">
        <f>'TANK HARDWARE'!B109</f>
        <v>LV NEUTRAL EARTHING FLAT CONN. ASM</v>
      </c>
      <c r="E105" s="163"/>
      <c r="F105" s="7" t="str">
        <f>'TANK HARDWARE'!M109</f>
        <v>M12x50-HDG-8.8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73</v>
      </c>
      <c r="D106" s="177" t="str">
        <f>'TANK HARDWARE'!B110</f>
        <v>FOS MOUNTING ASSEMBLY</v>
      </c>
      <c r="E106" s="163"/>
      <c r="F106" s="7" t="str">
        <f>'TANK HARDWARE'!M110</f>
        <v>M10-STUDx50-HDG-8.8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74</v>
      </c>
      <c r="D107" s="177" t="str">
        <f>'TANK HARDWARE'!B111</f>
        <v>FOS INSPECTION COVER ASM</v>
      </c>
      <c r="E107" s="163"/>
      <c r="F107" s="7" t="str">
        <f>'TANK HARDWARE'!M111</f>
        <v>M12-STUDx60-HDG-8.8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75</v>
      </c>
      <c r="D108" s="177" t="str">
        <f>'TANK HARDWARE'!B112</f>
        <v>ONLINE DGA MOUNTING</v>
      </c>
      <c r="E108" s="163"/>
      <c r="F108" s="7" t="str">
        <f>'TANK HARDWARE'!M112</f>
        <v>M12x50-HDG-8.8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76</v>
      </c>
      <c r="D109" s="177" t="str">
        <f>'TANK HARDWARE'!B113</f>
        <v>ONLINE DRYOUT SYSTEM MOUNTING</v>
      </c>
      <c r="E109" s="163"/>
      <c r="F109" s="7" t="str">
        <f>'TANK HARDWARE'!M113</f>
        <v>M12x50-HDG-8.8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77</v>
      </c>
      <c r="D110" s="177" t="str">
        <f>'TANK HARDWARE'!B114</f>
        <v>EXT.OLTC FLANGE (STUD &amp; BOLT)</v>
      </c>
      <c r="E110" s="169"/>
      <c r="F110" s="7" t="str">
        <f>'TANK HARDWARE'!M114</f>
        <v>M24x110-HDG-8.8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78</v>
      </c>
      <c r="D111" s="171"/>
      <c r="E111" s="168"/>
      <c r="F111" s="7" t="str">
        <f>'TANK HARDWARE'!M115</f>
        <v>M24x110-HDG-8.8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79</v>
      </c>
      <c r="D112" s="177" t="str">
        <f>'TANK HARDWARE'!B116</f>
        <v>BOTTOM TANK PROP SUPPORT</v>
      </c>
      <c r="E112" s="163"/>
      <c r="F112" s="7" t="str">
        <f>'TANK HARDWARE'!M116</f>
        <v>M16x70-HDG-8.8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80</v>
      </c>
      <c r="D113" s="177" t="str">
        <f>'TANK HARDWARE'!B117</f>
        <v>HV CABLE BOX TANK SUPPORT</v>
      </c>
      <c r="E113" s="163"/>
      <c r="F113" s="7" t="str">
        <f>'TANK HARDWARE'!M117</f>
        <v>M16x50-HDG-8.8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81</v>
      </c>
      <c r="D114" s="177" t="str">
        <f>'TANK HARDWARE'!B118</f>
        <v>LV CABLE BOX TANK SUPPORT</v>
      </c>
      <c r="E114" s="163"/>
      <c r="F114" s="7" t="str">
        <f>'TANK HARDWARE'!M118</f>
        <v>M16x50-HDG-8.8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82</v>
      </c>
      <c r="D115" s="177" t="str">
        <f>'TANK HARDWARE'!B119</f>
        <v>TV CABLE BOX TANK SUPPORT</v>
      </c>
      <c r="E115" s="163"/>
      <c r="F115" s="7" t="str">
        <f>'TANK HARDWARE'!M119</f>
        <v>M5x40-HDG-8.8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83</v>
      </c>
      <c r="D116" s="177" t="str">
        <f>'TANK HARDWARE'!B120</f>
        <v xml:space="preserve">200/150NB GROUND PIPE SUPPORT CLAMP </v>
      </c>
      <c r="E116" s="163"/>
      <c r="F116" s="7" t="str">
        <f>'TANK HARDWARE'!M120</f>
        <v>M16x50-HDG-8.8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84</v>
      </c>
      <c r="D117" s="177" t="str">
        <f>'TANK HARDWARE'!B121</f>
        <v>PIPE SUPPORTS - OLTC OSR &amp; SUCTION</v>
      </c>
      <c r="E117" s="163"/>
      <c r="F117" s="7" t="str">
        <f>'TANK HARDWARE'!M121</f>
        <v>M16x50-HDG-8.8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85</v>
      </c>
      <c r="D118" s="177" t="str">
        <f>'TANK HARDWARE'!B122</f>
        <v>LIGHTNING ARRESTER SUPPORT</v>
      </c>
      <c r="E118" s="163"/>
      <c r="F118" s="7" t="str">
        <f>'TANK HARDWARE'!M122</f>
        <v>M16x50-HDG-8.8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86</v>
      </c>
      <c r="D119" s="177" t="str">
        <f>'TANK HARDWARE'!B123</f>
        <v>THERMOSYPHON FILTER ASSEMBLY</v>
      </c>
      <c r="E119" s="163"/>
      <c r="F119" s="7" t="str">
        <f>'TANK HARDWARE'!M123</f>
        <v>M16x50-HDG-8.8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82</v>
      </c>
      <c r="D120" s="177"/>
      <c r="E120" s="163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82</v>
      </c>
      <c r="D121" s="202" t="str">
        <f>'TANK HARDWARE'!B125</f>
        <v>COVER (T-03)</v>
      </c>
      <c r="E121" s="162"/>
      <c r="F121" s="162"/>
      <c r="G121" s="162"/>
      <c r="H121" s="162"/>
      <c r="I121" s="162"/>
      <c r="J121" s="162"/>
      <c r="K121" s="162"/>
      <c r="L121" s="163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05" t="str">
        <f>'TANK HARDWARE'!B126</f>
        <v xml:space="preserve">HV - U TURRET ASSEMBLY - WELDED </v>
      </c>
      <c r="E122" s="169"/>
      <c r="F122" s="7" t="str">
        <f>'TANK HARDWARE'!M126</f>
        <v>M12x70-HDG-8.8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170"/>
      <c r="E123" s="165"/>
      <c r="F123" s="7" t="str">
        <f>'TANK HARDWARE'!M127</f>
        <v>M12x50-HDG-8.8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170"/>
      <c r="E124" s="165"/>
      <c r="F124" s="7" t="str">
        <f>'TANK HARDWARE'!M128</f>
        <v>M12-STUDx85-HDG-8.8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170"/>
      <c r="E125" s="165"/>
      <c r="F125" s="31" t="str">
        <f>'TANK HARDWARE'!M129</f>
        <v>M16x60-HDG-8.8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05" t="str">
        <f>'TANK HARDWARE'!B130</f>
        <v>HV - V&amp;W TURRET ASSEMBLY - SPLIT (PSD-650)</v>
      </c>
      <c r="E126" s="169"/>
      <c r="F126" s="31" t="str">
        <f>'TANK HARDWARE'!M130</f>
        <v>M12x60-HDG-8.8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170"/>
      <c r="E127" s="165"/>
      <c r="F127" s="31" t="str">
        <f>'TANK HARDWARE'!M131</f>
        <v>M12x50-HDG-8.8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170"/>
      <c r="E128" s="165"/>
      <c r="F128" s="31" t="str">
        <f>'TANK HARDWARE'!M132</f>
        <v>M12-STUDx85-HDG-8.8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1</v>
      </c>
      <c r="C129" s="3">
        <f t="shared" si="7"/>
        <v>8</v>
      </c>
      <c r="D129" s="170"/>
      <c r="E129" s="165"/>
      <c r="F129" s="31" t="str">
        <f>'TANK HARDWARE'!M133</f>
        <v>M12x75-HDG-8.8</v>
      </c>
      <c r="G129" s="113">
        <f>'TANK HARDWARE'!N133</f>
        <v>24</v>
      </c>
      <c r="H129" s="113">
        <f>'TANK HARDWARE'!O133</f>
        <v>24</v>
      </c>
      <c r="I129" s="113">
        <f>'TANK HARDWARE'!Q133</f>
        <v>48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9</v>
      </c>
      <c r="D130" s="170"/>
      <c r="E130" s="165"/>
      <c r="F130" s="31" t="str">
        <f>'TANK HARDWARE'!M134</f>
        <v>M16x60-HDG-8.8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10</v>
      </c>
      <c r="D131" s="177" t="str">
        <f>'TANK HARDWARE'!B135</f>
        <v>LV - U TURRET ASSEMBLY - WELDED (PSD-649)</v>
      </c>
      <c r="E131" s="169"/>
      <c r="F131" s="31" t="str">
        <f>'TANK HARDWARE'!M135</f>
        <v>M12x60-HDG-8.8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11</v>
      </c>
      <c r="D132" s="170"/>
      <c r="E132" s="165"/>
      <c r="F132" s="31" t="str">
        <f>'TANK HARDWARE'!M136</f>
        <v>M12x50-HDG-8.8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12</v>
      </c>
      <c r="D133" s="170"/>
      <c r="E133" s="165"/>
      <c r="F133" s="31" t="str">
        <f>'TANK HARDWARE'!M137</f>
        <v>M12-STUDx85-HDG-8.8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13</v>
      </c>
      <c r="D134" s="171"/>
      <c r="E134" s="168"/>
      <c r="F134" s="31" t="str">
        <f>'TANK HARDWARE'!M138</f>
        <v>M16x60-HDG-8.8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14</v>
      </c>
      <c r="D135" s="177" t="str">
        <f>'TANK HARDWARE'!B139</f>
        <v xml:space="preserve">LV - V&amp;W TURRET ASSEMBLY - SPLIT </v>
      </c>
      <c r="E135" s="169"/>
      <c r="F135" s="31" t="str">
        <f>'TANK HARDWARE'!M139</f>
        <v>M12x60-HDG-8.8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15</v>
      </c>
      <c r="D136" s="170"/>
      <c r="E136" s="165"/>
      <c r="F136" s="31" t="str">
        <f>'TANK HARDWARE'!M140</f>
        <v>M12x50-HDG-8.8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16</v>
      </c>
      <c r="D137" s="170"/>
      <c r="E137" s="165"/>
      <c r="F137" s="31" t="str">
        <f>'TANK HARDWARE'!M141</f>
        <v>M12-STUDx85-HDG-8.8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17</v>
      </c>
      <c r="D138" s="170"/>
      <c r="E138" s="165"/>
      <c r="F138" s="31" t="str">
        <f>'TANK HARDWARE'!M142</f>
        <v>M12x75-HDG-8.8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18</v>
      </c>
      <c r="D139" s="171"/>
      <c r="E139" s="168"/>
      <c r="F139" s="31" t="str">
        <f>'TANK HARDWARE'!M143</f>
        <v>M16x60-HDG-8.8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19</v>
      </c>
      <c r="D140" s="201" t="str">
        <f>'TANK HARDWARE'!B144</f>
        <v>OLTC FLANGE (CTR/E-MR)</v>
      </c>
      <c r="E140" s="163"/>
      <c r="F140" s="7" t="str">
        <f>'TANK HARDWARE'!M144</f>
        <v>M12-STUDx80-HDG-8.8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20</v>
      </c>
      <c r="D141" s="201" t="str">
        <f>'TANK HARDWARE'!B145</f>
        <v xml:space="preserve">BUFFER LOCKING </v>
      </c>
      <c r="E141" s="163"/>
      <c r="F141" s="7" t="str">
        <f>'TANK HARDWARE'!M145</f>
        <v>M12x50-HDG-8.8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21</v>
      </c>
      <c r="D142" s="201" t="str">
        <f>'TANK HARDWARE'!B146</f>
        <v>CORE EARTHING (PSD-722)</v>
      </c>
      <c r="E142" s="163"/>
      <c r="F142" s="7" t="str">
        <f>'TANK HARDWARE'!M146</f>
        <v>M12x60-HDG-8.8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22</v>
      </c>
      <c r="D143" s="201" t="str">
        <f>'TANK HARDWARE'!B147</f>
        <v>PRV MOUNTING ASSEMBLY (SD-54)</v>
      </c>
      <c r="E143" s="163"/>
      <c r="F143" s="7" t="str">
        <f>'TANK HARDWARE'!M147</f>
        <v>M12x60-HDG-8.8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23</v>
      </c>
      <c r="D144" s="201" t="str">
        <f>'TANK HARDWARE'!B148</f>
        <v>SAFETY POLE ASSEMBLY</v>
      </c>
      <c r="E144" s="163"/>
      <c r="F144" s="7" t="str">
        <f>'TANK HARDWARE'!M148</f>
        <v>M16x50-HDG-8.8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24</v>
      </c>
      <c r="D145" s="201" t="str">
        <f>'TANK HARDWARE'!B149</f>
        <v>FIRE DETECTOR MOUNTING SUPPORT(CTR)</v>
      </c>
      <c r="E145" s="163"/>
      <c r="F145" s="7" t="str">
        <f>'TANK HARDWARE'!M149</f>
        <v>M4x30-HDG-8.8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25</v>
      </c>
      <c r="D146" s="201" t="str">
        <f>'TANK HARDWARE'!B150</f>
        <v xml:space="preserve">BUCHHOLZ RELAY PIPE &amp; FLANGE (80 NB) </v>
      </c>
      <c r="E146" s="163"/>
      <c r="F146" s="7" t="str">
        <f>'TANK HARDWARE'!M150</f>
        <v>M16x70-HDG-8.8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26</v>
      </c>
      <c r="D147" s="201" t="str">
        <f>'TANK HARDWARE'!B151</f>
        <v>SPRD MOUNTING ASSEMBLY</v>
      </c>
      <c r="E147" s="163"/>
      <c r="F147" s="7" t="str">
        <f>'TANK HARDWARE'!M151</f>
        <v>M12-STUDx70-HDG-8.8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27</v>
      </c>
      <c r="D148" s="201" t="str">
        <f>'TANK HARDWARE'!B152</f>
        <v>SPL. INSPECTION COVER 1 (PSD-686)</v>
      </c>
      <c r="E148" s="163"/>
      <c r="F148" s="7" t="str">
        <f>'TANK HARDWARE'!M152</f>
        <v>M12-STUDx60-HDG-8.8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28</v>
      </c>
      <c r="D149" s="201" t="str">
        <f>'TANK HARDWARE'!B153</f>
        <v>SPL. INSPECTION COVER 2 (PSD-686)</v>
      </c>
      <c r="E149" s="163"/>
      <c r="F149" s="7" t="str">
        <f>'TANK HARDWARE'!M153</f>
        <v>M12-STUDx60-HDG-8.8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01"/>
      <c r="E150" s="163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82</v>
      </c>
      <c r="C151" s="3"/>
      <c r="D151" s="202" t="str">
        <f>'TANK HARDWARE'!B155</f>
        <v>HV TRUNK / HV DC / HV CABLE BOX / HV BUSDUCT (T-10 / T-11 / T-19 / T-60)</v>
      </c>
      <c r="E151" s="162"/>
      <c r="F151" s="162"/>
      <c r="G151" s="162"/>
      <c r="H151" s="162"/>
      <c r="I151" s="162"/>
      <c r="J151" s="162"/>
      <c r="K151" s="162"/>
      <c r="L151" s="163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01" t="str">
        <f>'TANK HARDWARE'!B156</f>
        <v xml:space="preserve">DC INSPECTION COVER </v>
      </c>
      <c r="E152" s="163"/>
      <c r="F152" s="7" t="str">
        <f>'TANK HARDWARE'!M156</f>
        <v>M12-STUDx60-HDG-8.8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01" t="str">
        <f>'TANK HARDWARE'!B157</f>
        <v>TRUNK TO DC CONNECTION</v>
      </c>
      <c r="E153" s="163"/>
      <c r="F153" s="7" t="str">
        <f>'TANK HARDWARE'!M157</f>
        <v>M12x60-HDG-8.8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01" t="str">
        <f>'TANK HARDWARE'!B158</f>
        <v>DC TO CABLE BOX CONNECTION</v>
      </c>
      <c r="E154" s="163"/>
      <c r="F154" s="7" t="str">
        <f>'TANK HARDWARE'!M158</f>
        <v>M12x60-HDG-8.8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01" t="str">
        <f>'TANK HARDWARE'!B159</f>
        <v>TANK TO TRUNK CONNECTION</v>
      </c>
      <c r="E155" s="163"/>
      <c r="F155" s="7" t="str">
        <f>'TANK HARDWARE'!M159</f>
        <v>M12x60-HDG-8.8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01" t="str">
        <f>'TANK HARDWARE'!B160</f>
        <v xml:space="preserve">TRUNK INSPECTION COVER </v>
      </c>
      <c r="E156" s="163"/>
      <c r="F156" s="7" t="str">
        <f>'TANK HARDWARE'!M160</f>
        <v>M12-STUDx60-HDG-8.8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01" t="str">
        <f>'TANK HARDWARE'!B161</f>
        <v>TRUNK CT TERMINAL BOX</v>
      </c>
      <c r="E157" s="163"/>
      <c r="F157" s="7" t="str">
        <f>'TANK HARDWARE'!M161</f>
        <v>M16x60-HDG-8.8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01" t="str">
        <f>'TANK HARDWARE'!B162</f>
        <v>PAD FLANGE FOR GLAND PLATE (CABLE BOX)</v>
      </c>
      <c r="E158" s="163"/>
      <c r="F158" s="7" t="str">
        <f>'TANK HARDWARE'!M162</f>
        <v>M12x50-HDG-8.8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01" t="str">
        <f>'TANK HARDWARE'!B163</f>
        <v>CABLE BOX SUPPORT ASSEMBLY</v>
      </c>
      <c r="E159" s="163"/>
      <c r="F159" s="7" t="str">
        <f>'TANK HARDWARE'!M163</f>
        <v>M16x60-HDG-8.8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01" t="str">
        <f>'TANK HARDWARE'!B164</f>
        <v>C/BOX SUPPORT CONNECTING CHANNEL</v>
      </c>
      <c r="E160" s="163"/>
      <c r="F160" s="7" t="str">
        <f>'TANK HARDWARE'!M164</f>
        <v>M16x50-HDG-8.8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01" t="str">
        <f>'TANK HARDWARE'!B165</f>
        <v>ANGLE FOR FRONT INSPECTION COVER(CABLE BOX)</v>
      </c>
      <c r="E161" s="163"/>
      <c r="F161" s="7" t="str">
        <f>'TANK HARDWARE'!M165</f>
        <v>M12x40-HDG-8.8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01" t="str">
        <f>'TANK HARDWARE'!B166</f>
        <v>CU FLAT &amp; JUMPER</v>
      </c>
      <c r="E162" s="163"/>
      <c r="F162" s="7" t="str">
        <f>'TANK HARDWARE'!M166</f>
        <v>M12x50-HDG-8.8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01" t="str">
        <f>'TANK HARDWARE'!B167</f>
        <v>INSULATOR TO  CABLE BOX</v>
      </c>
      <c r="E163" s="163"/>
      <c r="F163" s="7" t="str">
        <f>'TANK HARDWARE'!M167</f>
        <v>M20x50-HDG-8.8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01" t="str">
        <f>'TANK HARDWARE'!B168</f>
        <v>GI FLAT TO INSULATOR</v>
      </c>
      <c r="E164" s="163"/>
      <c r="F164" s="7" t="str">
        <f>'TANK HARDWARE'!M168</f>
        <v>M12x50-HDG-8.8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01" t="str">
        <f>'TANK HARDWARE'!B169</f>
        <v>CU FLAT TO GI FLAT</v>
      </c>
      <c r="E165" s="163"/>
      <c r="F165" s="7" t="str">
        <f>'TANK HARDWARE'!M169</f>
        <v>M16x50-HDG-8.8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01" t="str">
        <f>'TANK HARDWARE'!B170</f>
        <v>EARTHING BOSS</v>
      </c>
      <c r="E166" s="163"/>
      <c r="F166" s="7" t="str">
        <f>'TANK HARDWARE'!M170</f>
        <v>M16x50-HDG-8.8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82</v>
      </c>
      <c r="D167" s="201"/>
      <c r="E167" s="163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82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01" t="str">
        <f>'TANK HARDWARE'!B173</f>
        <v xml:space="preserve">DC INSPECTION COVER </v>
      </c>
      <c r="E169" s="163"/>
      <c r="F169" s="7" t="str">
        <f>'TANK HARDWARE'!M173</f>
        <v>M12-STUDx60-HDG-8.8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01" t="str">
        <f>'TANK HARDWARE'!B174</f>
        <v>TRUNK TO DC CONNECTION</v>
      </c>
      <c r="E170" s="163"/>
      <c r="F170" s="7" t="str">
        <f>'TANK HARDWARE'!M174</f>
        <v>M12x60-HDG-8.8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01" t="str">
        <f>'TANK HARDWARE'!B175</f>
        <v>DC TO CABLE BOX CONNECTION</v>
      </c>
      <c r="E171" s="163"/>
      <c r="F171" s="7" t="str">
        <f>'TANK HARDWARE'!M175</f>
        <v>M12x60-HDG-8.8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01" t="str">
        <f>'TANK HARDWARE'!B176</f>
        <v>TANK TO TRUNK CONNECTION</v>
      </c>
      <c r="E172" s="163"/>
      <c r="F172" s="7" t="str">
        <f>'TANK HARDWARE'!M176</f>
        <v>M12x60-HDG-8.8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01" t="str">
        <f>'TANK HARDWARE'!B177</f>
        <v xml:space="preserve">TRUNK INSPECTION COVER </v>
      </c>
      <c r="E173" s="163"/>
      <c r="F173" s="7" t="str">
        <f>'TANK HARDWARE'!M177</f>
        <v>M12-STUDx60-HDG-8.8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01" t="str">
        <f>'TANK HARDWARE'!B178</f>
        <v>TRUNK CT TERMINAL BOX</v>
      </c>
      <c r="E174" s="163"/>
      <c r="F174" s="7" t="str">
        <f>'TANK HARDWARE'!M178</f>
        <v>M16x60-HDG-8.8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01" t="str">
        <f>'TANK HARDWARE'!B179</f>
        <v>PAD FLANGE FOR GLAND PLATE (CABLE BOX)</v>
      </c>
      <c r="E175" s="163"/>
      <c r="F175" s="7" t="str">
        <f>'TANK HARDWARE'!M179</f>
        <v>M12x50-HDG-8.8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01" t="str">
        <f>'TANK HARDWARE'!B180</f>
        <v>CABLE BOX SUPPORT ASSEMBLY</v>
      </c>
      <c r="E176" s="163"/>
      <c r="F176" s="7" t="str">
        <f>'TANK HARDWARE'!M180</f>
        <v>M16x60-HDG-8.8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01" t="str">
        <f>'TANK HARDWARE'!B181</f>
        <v>C/BOX SUPPORT CONNECTING CHANNEL</v>
      </c>
      <c r="E177" s="163"/>
      <c r="F177" s="7" t="str">
        <f>'TANK HARDWARE'!M181</f>
        <v>M16x50-HDG-8.8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01" t="str">
        <f>'TANK HARDWARE'!B182</f>
        <v>ANGLE FOR FRONT INSPECTION COVER(CABLE BOX)</v>
      </c>
      <c r="E178" s="163"/>
      <c r="F178" s="7" t="str">
        <f>'TANK HARDWARE'!M182</f>
        <v>M12x40-HDG-8.8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01" t="str">
        <f>'TANK HARDWARE'!B183</f>
        <v>CU FLAT &amp; JUMPER</v>
      </c>
      <c r="E179" s="163"/>
      <c r="F179" s="7" t="str">
        <f>'TANK HARDWARE'!M183</f>
        <v>M12x50-HDG-8.8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01" t="str">
        <f>'TANK HARDWARE'!B184</f>
        <v>INSULATOR TO  CABLE BOX</v>
      </c>
      <c r="E180" s="163"/>
      <c r="F180" s="7" t="str">
        <f>'TANK HARDWARE'!M184</f>
        <v>M20x50-HDG-8.8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01" t="str">
        <f>'TANK HARDWARE'!B185</f>
        <v>GI FLAT TO INSULATOR</v>
      </c>
      <c r="E181" s="163"/>
      <c r="F181" s="7" t="str">
        <f>'TANK HARDWARE'!M185</f>
        <v>M12x50-HDG-8.8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01" t="str">
        <f>'TANK HARDWARE'!B186</f>
        <v>CU FLAT TO GI FLAT</v>
      </c>
      <c r="E182" s="163"/>
      <c r="F182" s="7" t="str">
        <f>'TANK HARDWARE'!M186</f>
        <v>M16x50-HDG-8.8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01" t="str">
        <f>'TANK HARDWARE'!B187</f>
        <v>EARTHING BOSS</v>
      </c>
      <c r="E183" s="163"/>
      <c r="F183" s="7" t="str">
        <f>'TANK HARDWARE'!M187</f>
        <v>M16x50-HDG-8.8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01"/>
      <c r="E184" s="163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01" t="str">
        <f>'TANK HARDWARE'!B190</f>
        <v xml:space="preserve">DC INSPECTION COVER </v>
      </c>
      <c r="E186" s="163"/>
      <c r="F186" s="7" t="str">
        <f>'TANK HARDWARE'!M190</f>
        <v>M12-STUDx60-HDG-8.8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01" t="str">
        <f>'TANK HARDWARE'!B191</f>
        <v>TRUNK TO DC CONNECTION</v>
      </c>
      <c r="E187" s="163"/>
      <c r="F187" s="7" t="str">
        <f>'TANK HARDWARE'!M191</f>
        <v>M12x60-HDG-8.8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01" t="str">
        <f>'TANK HARDWARE'!B192</f>
        <v>DC TO CABLE BOX CONNECTION</v>
      </c>
      <c r="E188" s="163"/>
      <c r="F188" s="7" t="str">
        <f>'TANK HARDWARE'!M192</f>
        <v>M12x60-HDG-8.8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01" t="str">
        <f>'TANK HARDWARE'!B193</f>
        <v>TANK TO TRUNK CONNECTION</v>
      </c>
      <c r="E189" s="163"/>
      <c r="F189" s="7" t="str">
        <f>'TANK HARDWARE'!M193</f>
        <v>M12x60-HDG-8.8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01" t="str">
        <f>'TANK HARDWARE'!B194</f>
        <v xml:space="preserve">TRUNK INSPECTION COVER </v>
      </c>
      <c r="E190" s="163"/>
      <c r="F190" s="7" t="str">
        <f>'TANK HARDWARE'!M194</f>
        <v>M12-STUDx60-HDG-8.8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01" t="str">
        <f>'TANK HARDWARE'!B195</f>
        <v>TRUNK CT TERMINAL BOX</v>
      </c>
      <c r="E191" s="163"/>
      <c r="F191" s="7" t="str">
        <f>'TANK HARDWARE'!M195</f>
        <v>M16x60-HDG-8.8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01" t="str">
        <f>'TANK HARDWARE'!B196</f>
        <v>PAD FLANGE FOR GLAND PLATE (CABLE BOX)</v>
      </c>
      <c r="E192" s="163"/>
      <c r="F192" s="7" t="str">
        <f>'TANK HARDWARE'!M196</f>
        <v>M12x50-HDG-8.8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01" t="str">
        <f>'TANK HARDWARE'!B197</f>
        <v>CABLE BOX SUPPORT ASSEMBLY</v>
      </c>
      <c r="E193" s="163"/>
      <c r="F193" s="7" t="str">
        <f>'TANK HARDWARE'!M197</f>
        <v>M16x60-HDG-8.8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01" t="str">
        <f>'TANK HARDWARE'!B198</f>
        <v>C/BOX SUPPORT CONNECTING CHANNEL</v>
      </c>
      <c r="E194" s="163"/>
      <c r="F194" s="7" t="str">
        <f>'TANK HARDWARE'!M198</f>
        <v>M16x50-HDG-8.8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01" t="str">
        <f>'TANK HARDWARE'!B199</f>
        <v>ANGLE FOR FRONT INSPECTION COVER(CABLE BOX)</v>
      </c>
      <c r="E195" s="163"/>
      <c r="F195" s="7" t="str">
        <f>'TANK HARDWARE'!M199</f>
        <v>M12x40-HDG-8.8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01" t="str">
        <f>'TANK HARDWARE'!B200</f>
        <v>CU FLAT &amp; JUMPER</v>
      </c>
      <c r="E196" s="163"/>
      <c r="F196" s="7" t="str">
        <f>'TANK HARDWARE'!M200</f>
        <v>M12x50-HDG-8.8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01" t="str">
        <f>'TANK HARDWARE'!B201</f>
        <v>INSULATOR TO  CABLE BOX</v>
      </c>
      <c r="E197" s="163"/>
      <c r="F197" s="7" t="str">
        <f>'TANK HARDWARE'!M201</f>
        <v>M20x50-HDG-8.8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01" t="str">
        <f>'TANK HARDWARE'!B202</f>
        <v>GI FLAT TO INSULATOR</v>
      </c>
      <c r="E198" s="163"/>
      <c r="F198" s="7" t="str">
        <f>'TANK HARDWARE'!M202</f>
        <v>M12x50-HDG-8.8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01" t="str">
        <f>'TANK HARDWARE'!B203</f>
        <v>CU FLAT TO GI FLAT</v>
      </c>
      <c r="E199" s="163"/>
      <c r="F199" s="7" t="str">
        <f>'TANK HARDWARE'!M203</f>
        <v>M16x50-HDG-8.8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01" t="str">
        <f>'TANK HARDWARE'!B204</f>
        <v>EARTHING BOSS</v>
      </c>
      <c r="E200" s="163"/>
      <c r="F200" s="7" t="str">
        <f>'TANK HARDWARE'!M204</f>
        <v>M16x50-HDG-8.8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82</v>
      </c>
      <c r="D201" s="201"/>
      <c r="E201" s="163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82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01" t="str">
        <f>'TANK HARDWARE'!B207</f>
        <v>RADIATOR TANK MOUNTING ASSEMBLY</v>
      </c>
      <c r="E203" s="163"/>
      <c r="F203" s="7" t="str">
        <f>'TANK HARDWARE'!M207</f>
        <v>M16x120-HDG-8.8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SD-269</v>
      </c>
    </row>
    <row r="204" spans="2:12" x14ac:dyDescent="0.25">
      <c r="B204" s="3">
        <f t="shared" si="12"/>
        <v>1</v>
      </c>
      <c r="C204" s="3">
        <f t="shared" si="13"/>
        <v>2</v>
      </c>
      <c r="D204" s="201" t="str">
        <f>'TANK HARDWARE'!B208</f>
        <v>RADIATOR A-FRAME MOUNTING ASSEMBLY</v>
      </c>
      <c r="E204" s="163"/>
      <c r="F204" s="7" t="str">
        <f>'TANK HARDWARE'!M208</f>
        <v>M16x120-HDG-8.8</v>
      </c>
      <c r="G204" s="113">
        <f>'TANK HARDWARE'!N208</f>
        <v>4</v>
      </c>
      <c r="H204" s="113">
        <f>'TANK HARDWARE'!O208</f>
        <v>8</v>
      </c>
      <c r="I204" s="113">
        <f>'TANK HARDWARE'!Q208</f>
        <v>2</v>
      </c>
      <c r="J204" s="7">
        <f>'TANK HARDWARE'!R208</f>
        <v>0</v>
      </c>
      <c r="K204" s="7">
        <f>'TANK HARDWARE'!P208</f>
        <v>0</v>
      </c>
      <c r="L204" s="34" t="str">
        <f>'TANK HARDWARE'!D208</f>
        <v>SD-269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01" t="str">
        <f>'TANK HARDWARE'!B209</f>
        <v>A FRAME TO TOP HEADER</v>
      </c>
      <c r="E205" s="163"/>
      <c r="F205" s="7" t="str">
        <f>'TANK HARDWARE'!M209</f>
        <v>M20x50-HDG-8.8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01" t="str">
        <f>'TANK HARDWARE'!B210</f>
        <v>A FRAME TO BOTTOM HEADER</v>
      </c>
      <c r="E206" s="163"/>
      <c r="F206" s="31" t="str">
        <f>'TANK HARDWARE'!M210</f>
        <v>M20x50-HDG-8.8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01" t="str">
        <f>'TANK HARDWARE'!B211</f>
        <v>A FRAME JOINT</v>
      </c>
      <c r="E207" s="163"/>
      <c r="F207" s="7" t="str">
        <f>'TANK HARDWARE'!M211</f>
        <v>M16x50-HDG-8.8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01" t="str">
        <f>'TANK HARDWARE'!B212</f>
        <v>CENTER I - SUPPORT</v>
      </c>
      <c r="E208" s="163"/>
      <c r="F208" s="7" t="str">
        <f>'TANK HARDWARE'!M212</f>
        <v>M16x50-HDG-8.8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01" t="str">
        <f>'TANK HARDWARE'!B213</f>
        <v>LADDER ASSEMBLY</v>
      </c>
      <c r="E209" s="163"/>
      <c r="F209" s="7" t="str">
        <f>'TANK HARDWARE'!M213</f>
        <v>M16x50-HDG-8.8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01" t="str">
        <f>'TANK HARDWARE'!B214</f>
        <v xml:space="preserve">PIPE SUPPORTS </v>
      </c>
      <c r="E210" s="163"/>
      <c r="F210" s="7" t="str">
        <f>'TANK HARDWARE'!M214</f>
        <v>M16x50-HDG-8.8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01" t="str">
        <f>'TANK HARDWARE'!B215</f>
        <v>TOP COOLING HEADER 25NB FILTER VALVE ASM</v>
      </c>
      <c r="E211" s="163"/>
      <c r="F211" s="7" t="str">
        <f>'TANK HARDWARE'!M215</f>
        <v>M16x50-HDG-8.8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01" t="str">
        <f>'TANK HARDWARE'!B216</f>
        <v>BOTTOM COOLING HEADER 25NB FILTER VALVE ASM</v>
      </c>
      <c r="E212" s="163"/>
      <c r="F212" s="7" t="str">
        <f>'TANK HARDWARE'!M216</f>
        <v>M16x50-HDG-8.8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01" t="str">
        <f>'TANK HARDWARE'!B217</f>
        <v>FAN TO FAN FRAME</v>
      </c>
      <c r="E213" s="163"/>
      <c r="F213" s="7" t="str">
        <f>'TANK HARDWARE'!M217</f>
        <v>M16x50-HDG-8.8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01" t="str">
        <f>'TANK HARDWARE'!B218</f>
        <v>TOP COOLING HEADER 25NB FILTER VALVE ASM</v>
      </c>
      <c r="E214" s="163"/>
      <c r="F214" s="7" t="str">
        <f>'TANK HARDWARE'!M218</f>
        <v>M16x50-HDG-8.8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01" t="str">
        <f>'TANK HARDWARE'!B219</f>
        <v>BOTTOM COOLING HEADER 25NB FILTER VALVE ASM</v>
      </c>
      <c r="E215" s="163"/>
      <c r="F215" s="7" t="str">
        <f>'TANK HARDWARE'!M219</f>
        <v>M16x50-HDG-8.8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01" t="str">
        <f>'TANK HARDWARE'!B220</f>
        <v>FAN MOUNTING ASSEMBLY</v>
      </c>
      <c r="E216" s="163"/>
      <c r="F216" s="7" t="str">
        <f>'TANK HARDWARE'!M220</f>
        <v>M16x50-HDG-8.8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01" t="str">
        <f>'TANK HARDWARE'!B221</f>
        <v>FAN MOUNTING SUPPORT ASSEMBLY</v>
      </c>
      <c r="E217" s="163"/>
      <c r="F217" s="7" t="str">
        <f>'TANK HARDWARE'!M221</f>
        <v>M16x50-HDG-8.8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01" t="str">
        <f>'TANK HARDWARE'!B222</f>
        <v>FAN FRAME TO SUPPORT</v>
      </c>
      <c r="E218" s="163"/>
      <c r="F218" s="7" t="str">
        <f>'TANK HARDWARE'!M222</f>
        <v>M16x50-HDG-8.8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01" t="str">
        <f>'TANK HARDWARE'!B223</f>
        <v>NRV (INSIDE)</v>
      </c>
      <c r="E219" s="163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82</v>
      </c>
      <c r="D220" s="201"/>
      <c r="E220" s="163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82</v>
      </c>
      <c r="D221" s="202" t="str">
        <f>'TANK HARDWARE'!B225</f>
        <v>CONSERVATOR &amp; AIR RELEASING PIPE ASSEMBLY (T-20)</v>
      </c>
      <c r="E221" s="162"/>
      <c r="F221" s="162"/>
      <c r="G221" s="162"/>
      <c r="H221" s="162"/>
      <c r="I221" s="162"/>
      <c r="J221" s="162"/>
      <c r="K221" s="162"/>
      <c r="L221" s="163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01" t="str">
        <f>'TANK HARDWARE'!B226</f>
        <v>CONSERVATOR ASSEMBLY</v>
      </c>
      <c r="E222" s="163"/>
      <c r="F222" s="7" t="str">
        <f>'TANK HARDWARE'!M226</f>
        <v>M16x50-HDG-8.8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01" t="str">
        <f>'TANK HARDWARE'!B227</f>
        <v>CONSERVATOR FRAME SUPPORT</v>
      </c>
      <c r="E223" s="163"/>
      <c r="F223" s="7" t="str">
        <f>'TANK HARDWARE'!M227</f>
        <v>M16x50-HDG-8.8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01" t="str">
        <f>'TANK HARDWARE'!B228</f>
        <v>CONSERVATOR FRAME SUPPORT CROSS/CONNECTING ASM</v>
      </c>
      <c r="E224" s="163"/>
      <c r="F224" s="7" t="str">
        <f>'TANK HARDWARE'!M228</f>
        <v>M16x50-HDG-8.8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01" t="str">
        <f>'TANK HARDWARE'!B229</f>
        <v>OLTC CONSERVATOR ASSEMBLY</v>
      </c>
      <c r="E225" s="163"/>
      <c r="F225" s="7" t="str">
        <f>'TANK HARDWARE'!M229</f>
        <v>M16x60-HDG-8.8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01" t="str">
        <f>'TANK HARDWARE'!B230</f>
        <v xml:space="preserve">80NB CONSERVATOR CONNECTING PIPE JOINTS </v>
      </c>
      <c r="E226" s="163"/>
      <c r="F226" s="7" t="str">
        <f>'TANK HARDWARE'!M230</f>
        <v>M16x50-HDG-8.8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01" t="str">
        <f>'TANK HARDWARE'!B231</f>
        <v xml:space="preserve">25NB AIR RELEASING PIPE JOINTS </v>
      </c>
      <c r="E227" s="163"/>
      <c r="F227" s="7" t="str">
        <f>'TANK HARDWARE'!M231</f>
        <v>M16x50-HDG-8.8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01" t="str">
        <f>'TANK HARDWARE'!B232</f>
        <v>SMART BREATHER SUPPORT</v>
      </c>
      <c r="E228" s="163"/>
      <c r="F228" s="7" t="str">
        <f>'TANK HARDWARE'!M232</f>
        <v>M16x50-HDG-8.8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01" t="str">
        <f>'TANK HARDWARE'!B233</f>
        <v>25NB PIPE HOLDING CLAMPS</v>
      </c>
      <c r="E229" s="163"/>
      <c r="F229" s="7" t="str">
        <f>'TANK HARDWARE'!M233</f>
        <v>M12x50-HDG-8.8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01" t="str">
        <f>'TANK HARDWARE'!B234</f>
        <v>FAN MOUNTING SUPPORT</v>
      </c>
      <c r="E230" s="163"/>
      <c r="F230" s="7" t="str">
        <f>'TANK HARDWARE'!M234</f>
        <v>M16x50-HDG-8.8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01" t="str">
        <f>'TANK HARDWARE'!B235</f>
        <v>FAN MOUNTING SUPPORT</v>
      </c>
      <c r="E231" s="163"/>
      <c r="F231" s="7" t="str">
        <f>'TANK HARDWARE'!M235</f>
        <v>M16x50-HDG-8.8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01" t="str">
        <f>'TANK HARDWARE'!B236</f>
        <v>FAN FRAME TO SUPPORT</v>
      </c>
      <c r="E232" s="163"/>
      <c r="F232" s="7" t="str">
        <f>'TANK HARDWARE'!M236</f>
        <v>M16x50-HDG-8.8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01" t="str">
        <f>'TANK HARDWARE'!B237</f>
        <v>EARTHING BOSS</v>
      </c>
      <c r="E233" s="163"/>
      <c r="F233" s="7" t="str">
        <f>'TANK HARDWARE'!M237</f>
        <v>M16x50-HDG-8.8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82</v>
      </c>
      <c r="D234" s="201"/>
      <c r="E234" s="163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82</v>
      </c>
      <c r="D235" s="202" t="str">
        <f>'TANK HARDWARE'!B239</f>
        <v>FOUNDATION BOLTS (CD-02)</v>
      </c>
      <c r="E235" s="162"/>
      <c r="F235" s="162"/>
      <c r="G235" s="162"/>
      <c r="H235" s="162"/>
      <c r="I235" s="162"/>
      <c r="J235" s="162"/>
      <c r="K235" s="162"/>
      <c r="L235" s="163"/>
    </row>
    <row r="236" spans="2:12" x14ac:dyDescent="0.25">
      <c r="B236" s="3">
        <f>IF(G236=0,0,1)</f>
        <v>1</v>
      </c>
      <c r="C236" s="3">
        <f>B236+C235</f>
        <v>1</v>
      </c>
      <c r="D236" s="201" t="str">
        <f>'TANK HARDWARE'!B240</f>
        <v>FOUNDATION BOLT - M24x300 (PSD-510/REF-4)</v>
      </c>
      <c r="E236" s="163"/>
      <c r="F236" s="7" t="str">
        <f>'TANK HARDWARE'!M240</f>
        <v>M24x320-HDG-8.8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01" t="str">
        <f>'TANK HARDWARE'!B241</f>
        <v>FOUNDATION BOLT - M20x250 (PSD-510/REF-3)</v>
      </c>
      <c r="E237" s="163"/>
      <c r="F237" s="7" t="str">
        <f>'TANK HARDWARE'!M241</f>
        <v>M20x270-HDG-8.8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01" t="str">
        <f>'TANK HARDWARE'!B242</f>
        <v>FOUNDATION BOLT - M16x200 (PSD-510/REF-2)</v>
      </c>
      <c r="E238" s="163"/>
      <c r="F238" s="7" t="str">
        <f>'TANK HARDWARE'!M242</f>
        <v>M16x220-HDG-8.8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01" t="str">
        <f>'TANK HARDWARE'!B243</f>
        <v>FOUNDATION BOLT - M12x200 (PSD-510/REF-1)</v>
      </c>
      <c r="E239" s="163"/>
      <c r="F239" s="7" t="str">
        <f>'TANK HARDWARE'!M243</f>
        <v>M12x220-HDG-8.8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82</v>
      </c>
      <c r="D240" s="201"/>
      <c r="E240" s="163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82</v>
      </c>
      <c r="D241" s="111" t="s">
        <v>83</v>
      </c>
      <c r="L241" s="92"/>
    </row>
    <row r="242" spans="2:12" x14ac:dyDescent="0.25">
      <c r="B242" s="3" t="s">
        <v>82</v>
      </c>
      <c r="D242" s="111" t="s">
        <v>84</v>
      </c>
      <c r="L242" s="92"/>
    </row>
    <row r="243" spans="2:12" x14ac:dyDescent="0.25">
      <c r="B243" s="3" t="s">
        <v>82</v>
      </c>
      <c r="D243" s="111"/>
      <c r="L243" s="92"/>
    </row>
    <row r="244" spans="2:12" x14ac:dyDescent="0.25">
      <c r="B244" s="3" t="s">
        <v>82</v>
      </c>
      <c r="D244" s="120" t="s">
        <v>85</v>
      </c>
      <c r="E244" s="178" t="s">
        <v>86</v>
      </c>
      <c r="F244" s="162"/>
      <c r="G244" s="162"/>
      <c r="H244" s="172" t="s">
        <v>87</v>
      </c>
      <c r="I244" s="162"/>
      <c r="J244" s="162"/>
      <c r="K244" s="162"/>
      <c r="L244" s="163"/>
    </row>
    <row r="245" spans="2:12" x14ac:dyDescent="0.25">
      <c r="B245" s="3" t="s">
        <v>82</v>
      </c>
      <c r="D245" s="7" t="s">
        <v>88</v>
      </c>
      <c r="E245" s="179" t="s">
        <v>89</v>
      </c>
      <c r="F245" s="162"/>
      <c r="G245" s="162"/>
      <c r="H245" s="161" t="s">
        <v>88</v>
      </c>
      <c r="I245" s="162"/>
      <c r="J245" s="162"/>
      <c r="K245" s="162"/>
      <c r="L245" s="163"/>
    </row>
  </sheetData>
  <autoFilter ref="B11:B244" xr:uid="{00000000-0009-0000-0000-000002000000}">
    <filterColumn colId="0">
      <filters>
        <filter val="1"/>
      </filters>
    </filterColumn>
  </autoFilter>
  <mergeCells count="197"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J131"/>
  <sheetViews>
    <sheetView tabSelected="1" view="pageBreakPreview" zoomScaleNormal="100" zoomScaleSheetLayoutView="100" workbookViewId="0">
      <selection activeCell="D23" sqref="D23:E23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161"/>
      <c r="E2" s="169"/>
      <c r="F2" s="174" t="s">
        <v>0</v>
      </c>
      <c r="G2" s="169"/>
      <c r="H2" s="107" t="s">
        <v>1</v>
      </c>
      <c r="I2" s="108"/>
      <c r="J2" s="108"/>
    </row>
    <row r="3" spans="4:10" ht="17.45" customHeight="1" x14ac:dyDescent="0.25">
      <c r="D3" s="170"/>
      <c r="E3" s="165"/>
      <c r="F3" s="170"/>
      <c r="G3" s="165"/>
      <c r="H3" s="95" t="s">
        <v>2</v>
      </c>
      <c r="I3" s="94"/>
      <c r="J3" s="94"/>
    </row>
    <row r="4" spans="4:10" ht="17.45" customHeight="1" x14ac:dyDescent="0.25">
      <c r="D4" s="171"/>
      <c r="E4" s="168"/>
      <c r="F4" s="171"/>
      <c r="G4" s="168"/>
      <c r="H4" s="114" t="s">
        <v>3</v>
      </c>
      <c r="I4" s="164" t="str">
        <f>'TANK HARDWARE'!K6</f>
        <v>XX.XX.XX</v>
      </c>
      <c r="J4" s="165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2" t="s">
        <v>8</v>
      </c>
      <c r="E7" s="151" t="str">
        <f>'TANK HARDWARE'!C4</f>
        <v>HDG-8.8</v>
      </c>
      <c r="F7" s="96"/>
      <c r="G7" s="150"/>
      <c r="H7" s="150"/>
      <c r="I7" s="150"/>
      <c r="J7" s="150"/>
    </row>
    <row r="8" spans="4:10" x14ac:dyDescent="0.25">
      <c r="D8" s="152" t="s">
        <v>9</v>
      </c>
      <c r="E8" s="151" t="str">
        <f>'TANK HARDWARE'!C5</f>
        <v>HDG-8.8</v>
      </c>
      <c r="F8" s="96"/>
      <c r="G8" s="150"/>
      <c r="H8" s="150"/>
      <c r="I8" s="150"/>
      <c r="J8" s="150"/>
    </row>
    <row r="9" spans="4:10" x14ac:dyDescent="0.25">
      <c r="D9" s="161"/>
      <c r="E9" s="163"/>
      <c r="F9" s="120"/>
      <c r="G9" s="166"/>
      <c r="H9" s="167"/>
      <c r="I9" s="167"/>
      <c r="J9" s="168"/>
    </row>
    <row r="10" spans="4:10" x14ac:dyDescent="0.25">
      <c r="D10" s="176" t="s">
        <v>10</v>
      </c>
      <c r="E10" s="163"/>
      <c r="F10" s="155" t="s">
        <v>11</v>
      </c>
      <c r="G10" s="155" t="s">
        <v>12</v>
      </c>
      <c r="H10" s="155" t="s">
        <v>13</v>
      </c>
      <c r="I10" s="155" t="s">
        <v>14</v>
      </c>
      <c r="J10" s="155" t="s">
        <v>15</v>
      </c>
    </row>
    <row r="11" spans="4:10" x14ac:dyDescent="0.25">
      <c r="D11" s="161" t="s">
        <v>16</v>
      </c>
      <c r="E11" s="163"/>
      <c r="F11" s="7" t="str">
        <f t="shared" ref="F11:F19" si="0">IF(VALUE(MID(D11,2,10))&lt;=12,$E$7,$E$8)</f>
        <v>HDG-8.8</v>
      </c>
      <c r="G11" s="154">
        <f>SUMIF('PRINT SHEET'!$F:$F,$D11&amp;"x*",'PRINT SHEET'!$H:$H)+SUMIF('PRINT SHEET'!$F:$F,$D11&amp;"-STUD*",'PRINT SHEET'!$H:$H)</f>
        <v>48</v>
      </c>
      <c r="H11" s="7">
        <f>SUMIF('PRINT SHEET'!$F:$F,$D11&amp;"x*",'PRINT SHEET'!$I:$I)+SUMIF('PRINT SHEET'!$F:$F,$D11&amp;"-STUD*",'PRINT SHEET'!$I:$I)</f>
        <v>96</v>
      </c>
      <c r="I11" s="7">
        <f>SUMIF('PRINT SHEET'!$F:$F,$D11&amp;"x*",'PRINT SHEET'!$J:$J)+SUMIF('PRINT SHEET'!$F:$F,$D11&amp;"-STUD*",'PRINT SHEET'!$J:$J)</f>
        <v>44</v>
      </c>
      <c r="J11" s="7">
        <f>SUMIF('PRINT SHEET'!$F:$F,$D11&amp;"x*",'PRINT SHEET'!$K:$K)+SUMIF('PRINT SHEET'!$F:$F,$D11&amp;"-STUD*",'PRINT SHEET'!$K:$K)</f>
        <v>0</v>
      </c>
    </row>
    <row r="12" spans="4:10" x14ac:dyDescent="0.25">
      <c r="D12" s="161" t="s">
        <v>17</v>
      </c>
      <c r="E12" s="163"/>
      <c r="F12" s="7" t="str">
        <f t="shared" si="0"/>
        <v>HDG-8.8</v>
      </c>
      <c r="G12" s="154">
        <f>SUMIF('PRINT SHEET'!$F:$F,$D12&amp;"x*",'PRINT SHEET'!$H:$H)+SUMIF('PRINT SHEET'!$F:$F,$D12&amp;"-STUD*",'PRINT SHEET'!$H:$H)</f>
        <v>9</v>
      </c>
      <c r="H12" s="7">
        <f>SUMIF('PRINT SHEET'!$F:$F,$D12&amp;"x*",'PRINT SHEET'!$I:$I)+SUMIF('PRINT SHEET'!$F:$F,$D12&amp;"-STUD*",'PRINT SHEET'!$I:$I)</f>
        <v>18</v>
      </c>
      <c r="I12" s="7">
        <f>SUMIF('PRINT SHEET'!$F:$F,$D12&amp;"x*",'PRINT SHEET'!$J:$J)+SUMIF('PRINT SHEET'!$F:$F,$D12&amp;"-STUD*",'PRINT SHEET'!$J:$J)</f>
        <v>8</v>
      </c>
      <c r="J12" s="7">
        <f>SUMIF('PRINT SHEET'!$F:$F,$D12&amp;"x*",'PRINT SHEET'!$K:$K)+SUMIF('PRINT SHEET'!$F:$F,$D12&amp;"-STUD*",'PRINT SHEET'!$K:$K)</f>
        <v>0</v>
      </c>
    </row>
    <row r="13" spans="4:10" hidden="1" x14ac:dyDescent="0.25">
      <c r="D13" s="161" t="s">
        <v>18</v>
      </c>
      <c r="E13" s="163"/>
      <c r="F13" s="7" t="str">
        <f t="shared" si="0"/>
        <v>HDG-8.8</v>
      </c>
      <c r="G13" s="154">
        <f>SUMIF('PRINT SHEET'!$F:$F,$D13&amp;"x*",'PRINT SHEET'!$H:$H)+SUMIF('PRINT SHEET'!$F:$F,$D13&amp;"-STUD*",'PRINT SHEET'!$H:$H)</f>
        <v>0</v>
      </c>
      <c r="H13" s="7">
        <f>SUMIF('PRINT SHEET'!$F:$F,$D13&amp;"x*",'PRINT SHEET'!$I:$I)+SUMIF('PRINT SHEET'!$F:$F,$D13&amp;"-STUD*",'PRINT SHEET'!$I:$I)</f>
        <v>0</v>
      </c>
      <c r="I13" s="7">
        <f>SUMIF('PRINT SHEET'!$F:$F,$D13&amp;"x*",'PRINT SHEET'!$J:$J)+SUMIF('PRINT SHEET'!$F:$F,$D13&amp;"-STUD*",'PRINT SHEET'!$J:$J)</f>
        <v>0</v>
      </c>
      <c r="J13" s="7">
        <f>SUMIF('PRINT SHEET'!$F:$F,$D13&amp;"x*",'PRINT SHEET'!$K:$K)+SUMIF('PRINT SHEET'!$F:$F,$D13&amp;"-STUD*",'PRINT SHEET'!$K:$K)</f>
        <v>0</v>
      </c>
    </row>
    <row r="14" spans="4:10" x14ac:dyDescent="0.25">
      <c r="D14" s="161" t="s">
        <v>19</v>
      </c>
      <c r="E14" s="163"/>
      <c r="F14" s="7" t="str">
        <f t="shared" si="0"/>
        <v>HDG-8.8</v>
      </c>
      <c r="G14" s="154">
        <f>SUMIF('PRINT SHEET'!$F:$F,$D14&amp;"x*",'PRINT SHEET'!$H:$H)+SUMIF('PRINT SHEET'!$F:$F,$D14&amp;"-STUD*",'PRINT SHEET'!$H:$H)</f>
        <v>22</v>
      </c>
      <c r="H14" s="7">
        <f>SUMIF('PRINT SHEET'!$F:$F,$D14&amp;"x*",'PRINT SHEET'!$I:$I)+SUMIF('PRINT SHEET'!$F:$F,$D14&amp;"-STUD*",'PRINT SHEET'!$I:$I)</f>
        <v>107</v>
      </c>
      <c r="I14" s="7">
        <f>SUMIF('PRINT SHEET'!$F:$F,$D14&amp;"x*",'PRINT SHEET'!$J:$J)+SUMIF('PRINT SHEET'!$F:$F,$D14&amp;"-STUD*",'PRINT SHEET'!$J:$J)</f>
        <v>16</v>
      </c>
      <c r="J14" s="7">
        <f>SUMIF('PRINT SHEET'!$F:$F,$D14&amp;"x*",'PRINT SHEET'!$K:$K)+SUMIF('PRINT SHEET'!$F:$F,$D14&amp;"-STUD*",'PRINT SHEET'!$K:$K)</f>
        <v>0</v>
      </c>
    </row>
    <row r="15" spans="4:10" x14ac:dyDescent="0.25">
      <c r="D15" s="161" t="s">
        <v>20</v>
      </c>
      <c r="E15" s="163"/>
      <c r="F15" s="7" t="str">
        <f t="shared" si="0"/>
        <v>HDG-8.8</v>
      </c>
      <c r="G15" s="154">
        <f>SUMIF('PRINT SHEET'!$F:$F,$D15&amp;"x*",'PRINT SHEET'!$H:$H)+SUMIF('PRINT SHEET'!$F:$F,$D15&amp;"-STUD*",'PRINT SHEET'!$H:$H)</f>
        <v>90</v>
      </c>
      <c r="H15" s="7">
        <f>SUMIF('PRINT SHEET'!$F:$F,$D15&amp;"x*",'PRINT SHEET'!$I:$I)+SUMIF('PRINT SHEET'!$F:$F,$D15&amp;"-STUD*",'PRINT SHEET'!$I:$I)</f>
        <v>154</v>
      </c>
      <c r="I15" s="7">
        <f>SUMIF('PRINT SHEET'!$F:$F,$D15&amp;"x*",'PRINT SHEET'!$J:$J)+SUMIF('PRINT SHEET'!$F:$F,$D15&amp;"-STUD*",'PRINT SHEET'!$J:$J)</f>
        <v>28</v>
      </c>
      <c r="J15" s="7">
        <f>SUMIF('PRINT SHEET'!$F:$F,$D15&amp;"x*",'PRINT SHEET'!$K:$K)+SUMIF('PRINT SHEET'!$F:$F,$D15&amp;"-STUD*",'PRINT SHEET'!$K:$K)</f>
        <v>0</v>
      </c>
    </row>
    <row r="16" spans="4:10" x14ac:dyDescent="0.25">
      <c r="D16" s="161" t="s">
        <v>21</v>
      </c>
      <c r="E16" s="163"/>
      <c r="F16" s="7" t="str">
        <f t="shared" si="0"/>
        <v>HDG-8.8</v>
      </c>
      <c r="G16" s="154">
        <f>SUMIF('PRINT SHEET'!$F:$F,$D16&amp;"x*",'PRINT SHEET'!$H:$H)+SUMIF('PRINT SHEET'!$F:$F,$D16&amp;"-STUD*",'PRINT SHEET'!$H:$H)</f>
        <v>2347</v>
      </c>
      <c r="H16" s="7">
        <f>SUMIF('PRINT SHEET'!$F:$F,$D16&amp;"x*",'PRINT SHEET'!$I:$I)+SUMIF('PRINT SHEET'!$F:$F,$D16&amp;"-STUD*",'PRINT SHEET'!$I:$I)</f>
        <v>4024</v>
      </c>
      <c r="I16" s="7">
        <f>SUMIF('PRINT SHEET'!$F:$F,$D16&amp;"x*",'PRINT SHEET'!$J:$J)+SUMIF('PRINT SHEET'!$F:$F,$D16&amp;"-STUD*",'PRINT SHEET'!$J:$J)</f>
        <v>1142</v>
      </c>
      <c r="J16" s="7">
        <f>SUMIF('PRINT SHEET'!$F:$F,$D16&amp;"x*",'PRINT SHEET'!$K:$K)+SUMIF('PRINT SHEET'!$F:$F,$D16&amp;"-STUD*",'PRINT SHEET'!$K:$K)</f>
        <v>15</v>
      </c>
    </row>
    <row r="17" spans="4:10" x14ac:dyDescent="0.25">
      <c r="D17" s="161" t="s">
        <v>22</v>
      </c>
      <c r="E17" s="163"/>
      <c r="F17" s="7" t="str">
        <f t="shared" si="0"/>
        <v>HDG-8.8</v>
      </c>
      <c r="G17" s="154">
        <f>SUMIF('PRINT SHEET'!$F:$F,$D17&amp;"x*",'PRINT SHEET'!$H:$H)+SUMIF('PRINT SHEET'!$F:$F,$D17&amp;"-STUD*",'PRINT SHEET'!$H:$H)</f>
        <v>1298</v>
      </c>
      <c r="H17" s="7">
        <f>SUMIF('PRINT SHEET'!$F:$F,$D17&amp;"x*",'PRINT SHEET'!$I:$I)+SUMIF('PRINT SHEET'!$F:$F,$D17&amp;"-STUD*",'PRINT SHEET'!$I:$I)</f>
        <v>2390</v>
      </c>
      <c r="I17" s="7">
        <f>SUMIF('PRINT SHEET'!$F:$F,$D17&amp;"x*",'PRINT SHEET'!$J:$J)+SUMIF('PRINT SHEET'!$F:$F,$D17&amp;"-STUD*",'PRINT SHEET'!$J:$J)</f>
        <v>210</v>
      </c>
      <c r="J17" s="7">
        <f>SUMIF('PRINT SHEET'!$F:$F,$D17&amp;"x*",'PRINT SHEET'!$K:$K)+SUMIF('PRINT SHEET'!$F:$F,$D17&amp;"-STUD*",'PRINT SHEET'!$K:$K)</f>
        <v>0</v>
      </c>
    </row>
    <row r="18" spans="4:10" x14ac:dyDescent="0.25">
      <c r="D18" s="161" t="s">
        <v>23</v>
      </c>
      <c r="E18" s="163"/>
      <c r="F18" s="7" t="str">
        <f t="shared" si="0"/>
        <v>HDG-8.8</v>
      </c>
      <c r="G18" s="154">
        <f>SUMIF('PRINT SHEET'!$F:$F,$D18&amp;"x*",'PRINT SHEET'!$H:$H)+SUMIF('PRINT SHEET'!$F:$F,$D18&amp;"-STUD*",'PRINT SHEET'!$H:$H)</f>
        <v>285</v>
      </c>
      <c r="H18" s="7">
        <f>SUMIF('PRINT SHEET'!$F:$F,$D18&amp;"x*",'PRINT SHEET'!$I:$I)+SUMIF('PRINT SHEET'!$F:$F,$D18&amp;"-STUD*",'PRINT SHEET'!$I:$I)</f>
        <v>426</v>
      </c>
      <c r="I18" s="7">
        <f>SUMIF('PRINT SHEET'!$F:$F,$D18&amp;"x*",'PRINT SHEET'!$J:$J)+SUMIF('PRINT SHEET'!$F:$F,$D18&amp;"-STUD*",'PRINT SHEET'!$J:$J)</f>
        <v>164</v>
      </c>
      <c r="J18" s="7">
        <f>SUMIF('PRINT SHEET'!$F:$F,$D18&amp;"x*",'PRINT SHEET'!$K:$K)+SUMIF('PRINT SHEET'!$F:$F,$D18&amp;"-STUD*",'PRINT SHEET'!$K:$K)</f>
        <v>16</v>
      </c>
    </row>
    <row r="19" spans="4:10" x14ac:dyDescent="0.25">
      <c r="D19" s="161" t="s">
        <v>24</v>
      </c>
      <c r="E19" s="163"/>
      <c r="F19" s="7" t="str">
        <f t="shared" si="0"/>
        <v>HDG-8.8</v>
      </c>
      <c r="G19" s="154">
        <f>SUMIF('PRINT SHEET'!$F:$F,$D19&amp;"x*",'PRINT SHEET'!$H:$H)+SUMIF('PRINT SHEET'!$F:$F,$D19&amp;"-STUD*",'PRINT SHEET'!$H:$H)</f>
        <v>147</v>
      </c>
      <c r="H19" s="7">
        <f>SUMIF('PRINT SHEET'!$F:$F,$D19&amp;"x*",'PRINT SHEET'!$I:$I)+SUMIF('PRINT SHEET'!$F:$F,$D19&amp;"-STUD*",'PRINT SHEET'!$I:$I)</f>
        <v>274</v>
      </c>
      <c r="I19" s="7">
        <f>SUMIF('PRINT SHEET'!$F:$F,$D19&amp;"x*",'PRINT SHEET'!$J:$J)+SUMIF('PRINT SHEET'!$F:$F,$D19&amp;"-STUD*",'PRINT SHEET'!$J:$J)</f>
        <v>10</v>
      </c>
      <c r="J19" s="7">
        <f>SUMIF('PRINT SHEET'!$F:$F,$D19&amp;"x*",'PRINT SHEET'!$K:$K)+SUMIF('PRINT SHEET'!$F:$F,$D19&amp;"-STUD*",'PRINT SHEET'!$K:$K)</f>
        <v>0</v>
      </c>
    </row>
    <row r="20" spans="4:10" x14ac:dyDescent="0.25">
      <c r="D20" s="177"/>
      <c r="E20" s="163"/>
      <c r="F20" s="7"/>
      <c r="G20" s="7"/>
      <c r="H20" s="7"/>
      <c r="I20" s="7"/>
      <c r="J20" s="7"/>
    </row>
    <row r="21" spans="4:10" x14ac:dyDescent="0.25">
      <c r="D21" s="173" t="s">
        <v>25</v>
      </c>
      <c r="E21" s="162"/>
      <c r="F21" s="156" t="s">
        <v>11</v>
      </c>
      <c r="G21" s="175" t="s">
        <v>26</v>
      </c>
      <c r="H21" s="162"/>
      <c r="I21" s="162"/>
      <c r="J21" s="163"/>
    </row>
    <row r="22" spans="4:10" x14ac:dyDescent="0.25">
      <c r="D22" s="161" t="s">
        <v>27</v>
      </c>
      <c r="E22" s="163"/>
      <c r="F22" s="7" t="str">
        <f>$E$7</f>
        <v>HDG-8.8</v>
      </c>
      <c r="G22" s="161">
        <f>SUMIF('PRINT SHEET'!$F:$F,$D22&amp;"-"&amp;$F22,'PRINT SHEET'!$G:$G)</f>
        <v>48</v>
      </c>
      <c r="H22" s="162"/>
      <c r="I22" s="162"/>
      <c r="J22" s="163"/>
    </row>
    <row r="23" spans="4:10" x14ac:dyDescent="0.25">
      <c r="D23" s="161" t="s">
        <v>29</v>
      </c>
      <c r="E23" s="163"/>
      <c r="F23" s="7" t="str">
        <f t="shared" ref="F23:F57" si="1">$E$7</f>
        <v>HDG-8.8</v>
      </c>
      <c r="G23" s="161">
        <f>SUMIF('PRINT SHEET'!$F:$F,$D23&amp;"-"&amp;$F23,'PRINT SHEET'!$G:$G)</f>
        <v>8</v>
      </c>
      <c r="H23" s="162"/>
      <c r="I23" s="162"/>
      <c r="J23" s="163"/>
    </row>
    <row r="24" spans="4:10" hidden="1" x14ac:dyDescent="0.25">
      <c r="D24" s="161" t="s">
        <v>30</v>
      </c>
      <c r="E24" s="163"/>
      <c r="F24" s="7" t="str">
        <f t="shared" si="1"/>
        <v>HDG-8.8</v>
      </c>
      <c r="G24" s="161">
        <f>SUMIF('PRINT SHEET'!$F:$F,$D24&amp;"-"&amp;$F24,'PRINT SHEET'!$G:$G)</f>
        <v>0</v>
      </c>
      <c r="H24" s="162"/>
      <c r="I24" s="162"/>
      <c r="J24" s="163"/>
    </row>
    <row r="25" spans="4:10" hidden="1" x14ac:dyDescent="0.25">
      <c r="D25" s="161" t="s">
        <v>31</v>
      </c>
      <c r="E25" s="163"/>
      <c r="F25" s="7" t="str">
        <f t="shared" si="1"/>
        <v>HDG-8.8</v>
      </c>
      <c r="G25" s="161">
        <f>SUMIF('PRINT SHEET'!$F:$F,$D25&amp;"-"&amp;$F25,'PRINT SHEET'!$G:$G)</f>
        <v>0</v>
      </c>
      <c r="H25" s="162"/>
      <c r="I25" s="162"/>
      <c r="J25" s="163"/>
    </row>
    <row r="26" spans="4:10" hidden="1" x14ac:dyDescent="0.25">
      <c r="D26" s="161" t="s">
        <v>32</v>
      </c>
      <c r="E26" s="163"/>
      <c r="F26" s="7" t="str">
        <f t="shared" si="1"/>
        <v>HDG-8.8</v>
      </c>
      <c r="G26" s="161">
        <f>SUMIF('PRINT SHEET'!$F:$F,$D26&amp;"-"&amp;$F26,'PRINT SHEET'!$G:$G)</f>
        <v>0</v>
      </c>
      <c r="H26" s="162"/>
      <c r="I26" s="162"/>
      <c r="J26" s="163"/>
    </row>
    <row r="27" spans="4:10" x14ac:dyDescent="0.25">
      <c r="D27" s="161" t="s">
        <v>33</v>
      </c>
      <c r="E27" s="163"/>
      <c r="F27" s="7" t="str">
        <f t="shared" si="1"/>
        <v>HDG-8.8</v>
      </c>
      <c r="G27" s="161">
        <f>SUMIF('PRINT SHEET'!$F:$F,$D27&amp;"-"&amp;$F27,'PRINT SHEET'!$G:$G)</f>
        <v>64</v>
      </c>
      <c r="H27" s="162"/>
      <c r="I27" s="162"/>
      <c r="J27" s="163"/>
    </row>
    <row r="28" spans="4:10" hidden="1" x14ac:dyDescent="0.25">
      <c r="D28" s="161" t="s">
        <v>34</v>
      </c>
      <c r="E28" s="163"/>
      <c r="F28" s="7" t="str">
        <f t="shared" si="1"/>
        <v>HDG-8.8</v>
      </c>
      <c r="G28" s="161">
        <f>SUMIF('PRINT SHEET'!$F:$F,$D28&amp;"-"&amp;$F28,'PRINT SHEET'!$G:$G)</f>
        <v>0</v>
      </c>
      <c r="H28" s="162"/>
      <c r="I28" s="162"/>
      <c r="J28" s="163"/>
    </row>
    <row r="29" spans="4:10" x14ac:dyDescent="0.25">
      <c r="D29" s="161" t="s">
        <v>35</v>
      </c>
      <c r="E29" s="163"/>
      <c r="F29" s="7" t="str">
        <f t="shared" si="1"/>
        <v>HDG-8.8</v>
      </c>
      <c r="G29" s="161">
        <f>SUMIF('PRINT SHEET'!$F:$F,$D29&amp;"-"&amp;$F29,'PRINT SHEET'!$G:$G)</f>
        <v>156</v>
      </c>
      <c r="H29" s="162"/>
      <c r="I29" s="162"/>
      <c r="J29" s="163"/>
    </row>
    <row r="30" spans="4:10" x14ac:dyDescent="0.25">
      <c r="D30" s="161" t="s">
        <v>36</v>
      </c>
      <c r="E30" s="163"/>
      <c r="F30" s="7" t="str">
        <f t="shared" si="1"/>
        <v>HDG-8.8</v>
      </c>
      <c r="G30" s="161">
        <f>SUMIF('PRINT SHEET'!$F:$F,$D30&amp;"-"&amp;$F30,'PRINT SHEET'!$G:$G)</f>
        <v>357</v>
      </c>
      <c r="H30" s="162"/>
      <c r="I30" s="162"/>
      <c r="J30" s="163"/>
    </row>
    <row r="31" spans="4:10" x14ac:dyDescent="0.25">
      <c r="D31" s="161" t="s">
        <v>37</v>
      </c>
      <c r="E31" s="163"/>
      <c r="F31" s="7" t="str">
        <f t="shared" si="1"/>
        <v>HDG-8.8</v>
      </c>
      <c r="G31" s="161">
        <f>SUMIF('PRINT SHEET'!$F:$F,$D31&amp;"-"&amp;$F31,'PRINT SHEET'!$G:$G)</f>
        <v>1078</v>
      </c>
      <c r="H31" s="162"/>
      <c r="I31" s="162"/>
      <c r="J31" s="163"/>
    </row>
    <row r="32" spans="4:10" x14ac:dyDescent="0.25">
      <c r="D32" s="161" t="s">
        <v>38</v>
      </c>
      <c r="E32" s="163"/>
      <c r="F32" s="7" t="str">
        <f t="shared" si="1"/>
        <v>HDG-8.8</v>
      </c>
      <c r="G32" s="161">
        <f>SUMIF('PRINT SHEET'!$F:$F,$D32&amp;"-"&amp;$F32,'PRINT SHEET'!$G:$G)</f>
        <v>24</v>
      </c>
      <c r="H32" s="162"/>
      <c r="I32" s="162"/>
      <c r="J32" s="163"/>
    </row>
    <row r="33" spans="4:10" x14ac:dyDescent="0.25">
      <c r="D33" s="161" t="s">
        <v>39</v>
      </c>
      <c r="E33" s="163"/>
      <c r="F33" s="7" t="str">
        <f t="shared" si="1"/>
        <v>HDG-8.8</v>
      </c>
      <c r="G33" s="161">
        <f>SUMIF('PRINT SHEET'!$F:$F,$D33&amp;"-"&amp;$F33,'PRINT SHEET'!$G:$G)</f>
        <v>72</v>
      </c>
      <c r="H33" s="162"/>
      <c r="I33" s="162"/>
      <c r="J33" s="163"/>
    </row>
    <row r="34" spans="4:10" hidden="1" x14ac:dyDescent="0.25">
      <c r="D34" s="161" t="s">
        <v>40</v>
      </c>
      <c r="E34" s="163"/>
      <c r="F34" s="7" t="str">
        <f t="shared" si="1"/>
        <v>HDG-8.8</v>
      </c>
      <c r="G34" s="161">
        <f>SUMIF('PRINT SHEET'!$F:$F,$D34&amp;"-"&amp;$F34,'PRINT SHEET'!$G:$G)</f>
        <v>0</v>
      </c>
      <c r="H34" s="162"/>
      <c r="I34" s="162"/>
      <c r="J34" s="163"/>
    </row>
    <row r="35" spans="4:10" x14ac:dyDescent="0.25">
      <c r="D35" s="161" t="s">
        <v>41</v>
      </c>
      <c r="E35" s="163"/>
      <c r="F35" s="7" t="str">
        <f t="shared" si="1"/>
        <v>HDG-8.8</v>
      </c>
      <c r="G35" s="161">
        <f>SUMIF('PRINT SHEET'!$F:$F,$D35&amp;"-"&amp;$F35,'PRINT SHEET'!$G:$G)</f>
        <v>782</v>
      </c>
      <c r="H35" s="162"/>
      <c r="I35" s="162"/>
      <c r="J35" s="163"/>
    </row>
    <row r="36" spans="4:10" x14ac:dyDescent="0.25">
      <c r="D36" s="161" t="s">
        <v>42</v>
      </c>
      <c r="E36" s="163"/>
      <c r="F36" s="7" t="str">
        <f t="shared" si="1"/>
        <v>HDG-8.8</v>
      </c>
      <c r="G36" s="161">
        <f>SUMIF('PRINT SHEET'!$F:$F,$D36&amp;"-"&amp;$F36,'PRINT SHEET'!$G:$G)</f>
        <v>4</v>
      </c>
      <c r="H36" s="162"/>
      <c r="I36" s="162"/>
      <c r="J36" s="163"/>
    </row>
    <row r="37" spans="4:10" x14ac:dyDescent="0.25">
      <c r="D37" s="161" t="s">
        <v>43</v>
      </c>
      <c r="E37" s="163"/>
      <c r="F37" s="7" t="str">
        <f t="shared" si="1"/>
        <v>HDG-8.8</v>
      </c>
      <c r="G37" s="161">
        <f>SUMIF('PRINT SHEET'!$F:$F,$D37&amp;"-"&amp;$F37,'PRINT SHEET'!$G:$G)</f>
        <v>257</v>
      </c>
      <c r="H37" s="162"/>
      <c r="I37" s="162"/>
      <c r="J37" s="163"/>
    </row>
    <row r="38" spans="4:10" x14ac:dyDescent="0.25">
      <c r="D38" s="161" t="s">
        <v>44</v>
      </c>
      <c r="E38" s="163"/>
      <c r="F38" s="7" t="str">
        <f t="shared" si="1"/>
        <v>HDG-8.8</v>
      </c>
      <c r="G38" s="161">
        <f>SUMIF('PRINT SHEET'!$F:$F,$D38&amp;"-"&amp;$F38,'PRINT SHEET'!$G:$G)</f>
        <v>60</v>
      </c>
      <c r="H38" s="162"/>
      <c r="I38" s="162"/>
      <c r="J38" s="163"/>
    </row>
    <row r="39" spans="4:10" x14ac:dyDescent="0.25">
      <c r="D39" s="161" t="s">
        <v>45</v>
      </c>
      <c r="E39" s="163"/>
      <c r="F39" s="7" t="str">
        <f t="shared" si="1"/>
        <v>HDG-8.8</v>
      </c>
      <c r="G39" s="161">
        <f>SUMIF('PRINT SHEET'!$F:$F,$D39&amp;"-"&amp;$F39,'PRINT SHEET'!$G:$G)</f>
        <v>16</v>
      </c>
      <c r="H39" s="162"/>
      <c r="I39" s="162"/>
      <c r="J39" s="163"/>
    </row>
    <row r="40" spans="4:10" hidden="1" x14ac:dyDescent="0.25">
      <c r="D40" s="161" t="s">
        <v>46</v>
      </c>
      <c r="E40" s="163"/>
      <c r="F40" s="7" t="str">
        <f t="shared" si="1"/>
        <v>HDG-8.8</v>
      </c>
      <c r="G40" s="161">
        <f>SUMIF('PRINT SHEET'!$F:$F,$D40&amp;"-"&amp;$F40,'PRINT SHEET'!$G:$G)</f>
        <v>0</v>
      </c>
      <c r="H40" s="162"/>
      <c r="I40" s="162"/>
      <c r="J40" s="163"/>
    </row>
    <row r="41" spans="4:10" hidden="1" x14ac:dyDescent="0.25">
      <c r="D41" s="161" t="s">
        <v>47</v>
      </c>
      <c r="E41" s="163"/>
      <c r="F41" s="7" t="str">
        <f t="shared" si="1"/>
        <v>HDG-8.8</v>
      </c>
      <c r="G41" s="161">
        <f>SUMIF('PRINT SHEET'!$F:$F,$D41&amp;"-"&amp;$F41,'PRINT SHEET'!$G:$G)</f>
        <v>0</v>
      </c>
      <c r="H41" s="162"/>
      <c r="I41" s="162"/>
      <c r="J41" s="163"/>
    </row>
    <row r="42" spans="4:10" hidden="1" x14ac:dyDescent="0.25">
      <c r="D42" s="161" t="s">
        <v>48</v>
      </c>
      <c r="E42" s="163"/>
      <c r="F42" s="7" t="str">
        <f t="shared" si="1"/>
        <v>HDG-8.8</v>
      </c>
      <c r="G42" s="161">
        <f>SUMIF('PRINT SHEET'!$F:$F,$D42&amp;"-"&amp;$F42,'PRINT SHEET'!$G:$G)</f>
        <v>0</v>
      </c>
      <c r="H42" s="162"/>
      <c r="I42" s="162"/>
      <c r="J42" s="163"/>
    </row>
    <row r="43" spans="4:10" x14ac:dyDescent="0.25">
      <c r="D43" s="161" t="s">
        <v>49</v>
      </c>
      <c r="E43" s="163"/>
      <c r="F43" s="7" t="str">
        <f t="shared" si="1"/>
        <v>HDG-8.8</v>
      </c>
      <c r="G43" s="161">
        <f>SUMIF('PRINT SHEET'!$F:$F,$D43&amp;"-"&amp;$F43,'PRINT SHEET'!$G:$G)</f>
        <v>30</v>
      </c>
      <c r="H43" s="162"/>
      <c r="I43" s="162"/>
      <c r="J43" s="163"/>
    </row>
    <row r="44" spans="4:10" x14ac:dyDescent="0.25">
      <c r="D44" s="161" t="s">
        <v>50</v>
      </c>
      <c r="E44" s="163"/>
      <c r="F44" s="7" t="str">
        <f t="shared" si="1"/>
        <v>HDG-8.8</v>
      </c>
      <c r="G44" s="161">
        <f>SUMIF('PRINT SHEET'!$F:$F,$D44&amp;"-"&amp;$F44,'PRINT SHEET'!$G:$G)</f>
        <v>2</v>
      </c>
      <c r="H44" s="162"/>
      <c r="I44" s="162"/>
      <c r="J44" s="163"/>
    </row>
    <row r="45" spans="4:10" x14ac:dyDescent="0.25">
      <c r="D45" s="161" t="s">
        <v>51</v>
      </c>
      <c r="E45" s="163"/>
      <c r="F45" s="7" t="str">
        <f t="shared" si="1"/>
        <v>HDG-8.8</v>
      </c>
      <c r="G45" s="161">
        <f>SUMIF('PRINT SHEET'!$F:$F,$D45&amp;"-"&amp;$F45,'PRINT SHEET'!$G:$G)</f>
        <v>48</v>
      </c>
      <c r="H45" s="162"/>
      <c r="I45" s="162"/>
      <c r="J45" s="163"/>
    </row>
    <row r="46" spans="4:10" x14ac:dyDescent="0.25">
      <c r="D46" s="161" t="s">
        <v>52</v>
      </c>
      <c r="E46" s="163"/>
      <c r="F46" s="7" t="str">
        <f t="shared" si="1"/>
        <v>HDG-8.8</v>
      </c>
      <c r="G46" s="161">
        <f>SUMIF('PRINT SHEET'!$F:$F,$D46&amp;"-"&amp;$F46,'PRINT SHEET'!$G:$G)</f>
        <v>24</v>
      </c>
      <c r="H46" s="162"/>
      <c r="I46" s="162"/>
      <c r="J46" s="163"/>
    </row>
    <row r="47" spans="4:10" hidden="1" x14ac:dyDescent="0.25">
      <c r="D47" s="161" t="s">
        <v>53</v>
      </c>
      <c r="E47" s="163"/>
      <c r="F47" s="7" t="str">
        <f t="shared" si="1"/>
        <v>HDG-8.8</v>
      </c>
      <c r="G47" s="161">
        <f>SUMIF('PRINT SHEET'!$F:$F,$D47&amp;"-"&amp;$F47,'PRINT SHEET'!$G:$G)</f>
        <v>0</v>
      </c>
      <c r="H47" s="162"/>
      <c r="I47" s="162"/>
      <c r="J47" s="163"/>
    </row>
    <row r="48" spans="4:10" hidden="1" x14ac:dyDescent="0.25">
      <c r="D48" s="161" t="s">
        <v>54</v>
      </c>
      <c r="E48" s="163"/>
      <c r="F48" s="7" t="str">
        <f t="shared" si="1"/>
        <v>HDG-8.8</v>
      </c>
      <c r="G48" s="161">
        <f>SUMIF('PRINT SHEET'!$F:$F,$D48&amp;"-"&amp;$F48,'PRINT SHEET'!$G:$G)</f>
        <v>0</v>
      </c>
      <c r="H48" s="162"/>
      <c r="I48" s="162"/>
      <c r="J48" s="163"/>
    </row>
    <row r="49" spans="4:10" x14ac:dyDescent="0.25">
      <c r="D49" s="161" t="s">
        <v>55</v>
      </c>
      <c r="E49" s="163"/>
      <c r="F49" s="7" t="str">
        <f t="shared" si="1"/>
        <v>HDG-8.8</v>
      </c>
      <c r="G49" s="161">
        <f>SUMIF('PRINT SHEET'!$F:$F,$D49&amp;"-"&amp;$F49,'PRINT SHEET'!$G:$G)</f>
        <v>20</v>
      </c>
      <c r="H49" s="162"/>
      <c r="I49" s="162"/>
      <c r="J49" s="163"/>
    </row>
    <row r="50" spans="4:10" x14ac:dyDescent="0.25">
      <c r="D50" s="161" t="s">
        <v>56</v>
      </c>
      <c r="E50" s="163"/>
      <c r="F50" s="7" t="str">
        <f t="shared" si="1"/>
        <v>HDG-8.8</v>
      </c>
      <c r="G50" s="161">
        <f>SUMIF('PRINT SHEET'!$F:$F,$D50&amp;"-"&amp;$F50,'PRINT SHEET'!$G:$G)</f>
        <v>125</v>
      </c>
      <c r="H50" s="162"/>
      <c r="I50" s="162"/>
      <c r="J50" s="163"/>
    </row>
    <row r="51" spans="4:10" x14ac:dyDescent="0.25">
      <c r="D51" s="161" t="s">
        <v>57</v>
      </c>
      <c r="E51" s="163"/>
      <c r="F51" s="7" t="str">
        <f t="shared" si="1"/>
        <v>HDG-8.8</v>
      </c>
      <c r="G51" s="161">
        <f>SUMIF('PRINT SHEET'!$F:$F,$D51&amp;"-"&amp;$F51,'PRINT SHEET'!$G:$G)</f>
        <v>2</v>
      </c>
      <c r="H51" s="162"/>
      <c r="I51" s="162"/>
      <c r="J51" s="163"/>
    </row>
    <row r="52" spans="4:10" x14ac:dyDescent="0.25">
      <c r="D52" s="161" t="s">
        <v>58</v>
      </c>
      <c r="E52" s="163"/>
      <c r="F52" s="7" t="str">
        <f t="shared" si="1"/>
        <v>HDG-8.8</v>
      </c>
      <c r="G52" s="161">
        <f>SUMIF('PRINT SHEET'!$F:$F,$D52&amp;"-"&amp;$F52,'PRINT SHEET'!$G:$G)</f>
        <v>10</v>
      </c>
      <c r="H52" s="162"/>
      <c r="I52" s="162"/>
      <c r="J52" s="163"/>
    </row>
    <row r="53" spans="4:10" x14ac:dyDescent="0.25">
      <c r="D53" s="161" t="s">
        <v>59</v>
      </c>
      <c r="E53" s="163"/>
      <c r="F53" s="7" t="str">
        <f t="shared" si="1"/>
        <v>HDG-8.8</v>
      </c>
      <c r="G53" s="161">
        <f>SUMIF('PRINT SHEET'!$F:$F,$D53&amp;"-"&amp;$F53,'PRINT SHEET'!$G:$G)</f>
        <v>40</v>
      </c>
      <c r="H53" s="162"/>
      <c r="I53" s="162"/>
      <c r="J53" s="163"/>
    </row>
    <row r="54" spans="4:10" hidden="1" x14ac:dyDescent="0.25">
      <c r="D54" s="161" t="s">
        <v>60</v>
      </c>
      <c r="E54" s="163"/>
      <c r="F54" s="7" t="str">
        <f t="shared" si="1"/>
        <v>HDG-8.8</v>
      </c>
      <c r="G54" s="161">
        <f>SUMIF('PRINT SHEET'!$F:$F,$D54&amp;"-"&amp;$F54,'PRINT SHEET'!$G:$G)</f>
        <v>0</v>
      </c>
      <c r="H54" s="162"/>
      <c r="I54" s="162"/>
      <c r="J54" s="163"/>
    </row>
    <row r="55" spans="4:10" x14ac:dyDescent="0.25">
      <c r="D55" s="161" t="s">
        <v>61</v>
      </c>
      <c r="E55" s="163"/>
      <c r="F55" s="7" t="str">
        <f t="shared" si="1"/>
        <v>HDG-8.8</v>
      </c>
      <c r="G55" s="161">
        <f>SUMIF('PRINT SHEET'!$F:$F,$D55&amp;"-"&amp;$F55,'PRINT SHEET'!$G:$G)</f>
        <v>12</v>
      </c>
      <c r="H55" s="162"/>
      <c r="I55" s="162"/>
      <c r="J55" s="163"/>
    </row>
    <row r="56" spans="4:10" x14ac:dyDescent="0.25">
      <c r="D56" s="161" t="s">
        <v>62</v>
      </c>
      <c r="E56" s="163"/>
      <c r="F56" s="7" t="str">
        <f t="shared" si="1"/>
        <v>HDG-8.8</v>
      </c>
      <c r="G56" s="161">
        <f>SUMIF('PRINT SHEET'!$F:$F,$D56&amp;"-"&amp;$F56,'PRINT SHEET'!$G:$G)</f>
        <v>63</v>
      </c>
      <c r="H56" s="162"/>
      <c r="I56" s="162"/>
      <c r="J56" s="163"/>
    </row>
    <row r="57" spans="4:10" x14ac:dyDescent="0.25">
      <c r="D57" s="161" t="s">
        <v>63</v>
      </c>
      <c r="E57" s="163"/>
      <c r="F57" s="7" t="str">
        <f t="shared" si="1"/>
        <v>HDG-8.8</v>
      </c>
      <c r="G57" s="161">
        <f>SUMIF('PRINT SHEET'!$F:$F,$D57&amp;"-"&amp;$F57,'PRINT SHEET'!$G:$G)</f>
        <v>1</v>
      </c>
      <c r="H57" s="162"/>
      <c r="I57" s="162"/>
      <c r="J57" s="163"/>
    </row>
    <row r="58" spans="4:10" x14ac:dyDescent="0.25">
      <c r="D58" s="161" t="s">
        <v>27</v>
      </c>
      <c r="E58" s="163"/>
      <c r="F58" s="7" t="str">
        <f>$E$8</f>
        <v>HDG-8.8</v>
      </c>
      <c r="G58" s="161">
        <f>SUMIF('PRINT SHEET'!$F:$F,$D58&amp;"-"&amp;$F58,'PRINT SHEET'!$G:$G)</f>
        <v>48</v>
      </c>
      <c r="H58" s="162"/>
      <c r="I58" s="162"/>
      <c r="J58" s="163"/>
    </row>
    <row r="59" spans="4:10" x14ac:dyDescent="0.25">
      <c r="D59" s="161" t="s">
        <v>29</v>
      </c>
      <c r="E59" s="163"/>
      <c r="F59" s="7" t="str">
        <f t="shared" ref="F59:F93" si="2">$E$8</f>
        <v>HDG-8.8</v>
      </c>
      <c r="G59" s="161">
        <f>SUMIF('PRINT SHEET'!$F:$F,$D59&amp;"-"&amp;$F59,'PRINT SHEET'!$G:$G)</f>
        <v>8</v>
      </c>
      <c r="H59" s="162"/>
      <c r="I59" s="162"/>
      <c r="J59" s="163"/>
    </row>
    <row r="60" spans="4:10" hidden="1" x14ac:dyDescent="0.25">
      <c r="D60" s="161" t="s">
        <v>30</v>
      </c>
      <c r="E60" s="163"/>
      <c r="F60" s="7" t="str">
        <f t="shared" si="2"/>
        <v>HDG-8.8</v>
      </c>
      <c r="G60" s="161">
        <f>SUMIF('PRINT SHEET'!$F:$F,$D60&amp;"-"&amp;$F60,'PRINT SHEET'!$G:$G)</f>
        <v>0</v>
      </c>
      <c r="H60" s="162"/>
      <c r="I60" s="162"/>
      <c r="J60" s="163"/>
    </row>
    <row r="61" spans="4:10" hidden="1" x14ac:dyDescent="0.25">
      <c r="D61" s="161" t="s">
        <v>31</v>
      </c>
      <c r="E61" s="163"/>
      <c r="F61" s="7" t="str">
        <f t="shared" si="2"/>
        <v>HDG-8.8</v>
      </c>
      <c r="G61" s="161">
        <f>SUMIF('PRINT SHEET'!$F:$F,$D61&amp;"-"&amp;$F61,'PRINT SHEET'!$G:$G)</f>
        <v>0</v>
      </c>
      <c r="H61" s="162"/>
      <c r="I61" s="162"/>
      <c r="J61" s="163"/>
    </row>
    <row r="62" spans="4:10" hidden="1" x14ac:dyDescent="0.25">
      <c r="D62" s="161" t="s">
        <v>32</v>
      </c>
      <c r="E62" s="163"/>
      <c r="F62" s="7" t="str">
        <f t="shared" si="2"/>
        <v>HDG-8.8</v>
      </c>
      <c r="G62" s="161">
        <f>SUMIF('PRINT SHEET'!$F:$F,$D62&amp;"-"&amp;$F62,'PRINT SHEET'!$G:$G)</f>
        <v>0</v>
      </c>
      <c r="H62" s="162"/>
      <c r="I62" s="162"/>
      <c r="J62" s="163"/>
    </row>
    <row r="63" spans="4:10" x14ac:dyDescent="0.25">
      <c r="D63" s="161" t="s">
        <v>33</v>
      </c>
      <c r="E63" s="163"/>
      <c r="F63" s="7" t="str">
        <f t="shared" si="2"/>
        <v>HDG-8.8</v>
      </c>
      <c r="G63" s="161">
        <f>SUMIF('PRINT SHEET'!$F:$F,$D63&amp;"-"&amp;$F63,'PRINT SHEET'!$G:$G)</f>
        <v>64</v>
      </c>
      <c r="H63" s="162"/>
      <c r="I63" s="162"/>
      <c r="J63" s="163"/>
    </row>
    <row r="64" spans="4:10" hidden="1" x14ac:dyDescent="0.25">
      <c r="D64" s="161" t="s">
        <v>34</v>
      </c>
      <c r="E64" s="163"/>
      <c r="F64" s="7" t="str">
        <f t="shared" si="2"/>
        <v>HDG-8.8</v>
      </c>
      <c r="G64" s="161">
        <f>SUMIF('PRINT SHEET'!$F:$F,$D64&amp;"-"&amp;$F64,'PRINT SHEET'!$G:$G)</f>
        <v>0</v>
      </c>
      <c r="H64" s="162"/>
      <c r="I64" s="162"/>
      <c r="J64" s="163"/>
    </row>
    <row r="65" spans="4:10" x14ac:dyDescent="0.25">
      <c r="D65" s="161" t="s">
        <v>35</v>
      </c>
      <c r="E65" s="163"/>
      <c r="F65" s="7" t="str">
        <f t="shared" si="2"/>
        <v>HDG-8.8</v>
      </c>
      <c r="G65" s="161">
        <f>SUMIF('PRINT SHEET'!$F:$F,$D65&amp;"-"&amp;$F65,'PRINT SHEET'!$G:$G)</f>
        <v>156</v>
      </c>
      <c r="H65" s="162"/>
      <c r="I65" s="162"/>
      <c r="J65" s="163"/>
    </row>
    <row r="66" spans="4:10" x14ac:dyDescent="0.25">
      <c r="D66" s="161" t="s">
        <v>36</v>
      </c>
      <c r="E66" s="163"/>
      <c r="F66" s="7" t="str">
        <f t="shared" si="2"/>
        <v>HDG-8.8</v>
      </c>
      <c r="G66" s="161">
        <f>SUMIF('PRINT SHEET'!$F:$F,$D66&amp;"-"&amp;$F66,'PRINT SHEET'!$G:$G)</f>
        <v>357</v>
      </c>
      <c r="H66" s="162"/>
      <c r="I66" s="162"/>
      <c r="J66" s="163"/>
    </row>
    <row r="67" spans="4:10" x14ac:dyDescent="0.25">
      <c r="D67" s="161" t="s">
        <v>37</v>
      </c>
      <c r="E67" s="163"/>
      <c r="F67" s="7" t="str">
        <f t="shared" si="2"/>
        <v>HDG-8.8</v>
      </c>
      <c r="G67" s="161">
        <f>SUMIF('PRINT SHEET'!$F:$F,$D67&amp;"-"&amp;$F67,'PRINT SHEET'!$G:$G)</f>
        <v>1078</v>
      </c>
      <c r="H67" s="162"/>
      <c r="I67" s="162"/>
      <c r="J67" s="163"/>
    </row>
    <row r="68" spans="4:10" x14ac:dyDescent="0.25">
      <c r="D68" s="161" t="s">
        <v>38</v>
      </c>
      <c r="E68" s="163"/>
      <c r="F68" s="7" t="str">
        <f t="shared" si="2"/>
        <v>HDG-8.8</v>
      </c>
      <c r="G68" s="161">
        <f>SUMIF('PRINT SHEET'!$F:$F,$D68&amp;"-"&amp;$F68,'PRINT SHEET'!$G:$G)</f>
        <v>24</v>
      </c>
      <c r="H68" s="162"/>
      <c r="I68" s="162"/>
      <c r="J68" s="163"/>
    </row>
    <row r="69" spans="4:10" x14ac:dyDescent="0.25">
      <c r="D69" s="161" t="s">
        <v>39</v>
      </c>
      <c r="E69" s="163"/>
      <c r="F69" s="7" t="str">
        <f t="shared" si="2"/>
        <v>HDG-8.8</v>
      </c>
      <c r="G69" s="161">
        <f>SUMIF('PRINT SHEET'!$F:$F,$D69&amp;"-"&amp;$F69,'PRINT SHEET'!$G:$G)</f>
        <v>72</v>
      </c>
      <c r="H69" s="162"/>
      <c r="I69" s="162"/>
      <c r="J69" s="163"/>
    </row>
    <row r="70" spans="4:10" hidden="1" x14ac:dyDescent="0.25">
      <c r="D70" s="161" t="s">
        <v>40</v>
      </c>
      <c r="E70" s="163"/>
      <c r="F70" s="7" t="str">
        <f t="shared" si="2"/>
        <v>HDG-8.8</v>
      </c>
      <c r="G70" s="161">
        <f>SUMIF('PRINT SHEET'!$F:$F,$D70&amp;"-"&amp;$F70,'PRINT SHEET'!$G:$G)</f>
        <v>0</v>
      </c>
      <c r="H70" s="162"/>
      <c r="I70" s="162"/>
      <c r="J70" s="163"/>
    </row>
    <row r="71" spans="4:10" x14ac:dyDescent="0.25">
      <c r="D71" s="161" t="s">
        <v>41</v>
      </c>
      <c r="E71" s="163"/>
      <c r="F71" s="7" t="str">
        <f t="shared" si="2"/>
        <v>HDG-8.8</v>
      </c>
      <c r="G71" s="161">
        <f>SUMIF('PRINT SHEET'!$F:$F,$D71&amp;"-"&amp;$F71,'PRINT SHEET'!$G:$G)</f>
        <v>782</v>
      </c>
      <c r="H71" s="162"/>
      <c r="I71" s="162"/>
      <c r="J71" s="163"/>
    </row>
    <row r="72" spans="4:10" x14ac:dyDescent="0.25">
      <c r="D72" s="161" t="s">
        <v>42</v>
      </c>
      <c r="E72" s="163"/>
      <c r="F72" s="7" t="str">
        <f t="shared" si="2"/>
        <v>HDG-8.8</v>
      </c>
      <c r="G72" s="161">
        <f>SUMIF('PRINT SHEET'!$F:$F,$D72&amp;"-"&amp;$F72,'PRINT SHEET'!$G:$G)</f>
        <v>4</v>
      </c>
      <c r="H72" s="162"/>
      <c r="I72" s="162"/>
      <c r="J72" s="163"/>
    </row>
    <row r="73" spans="4:10" x14ac:dyDescent="0.25">
      <c r="D73" s="161" t="s">
        <v>43</v>
      </c>
      <c r="E73" s="163"/>
      <c r="F73" s="7" t="str">
        <f t="shared" si="2"/>
        <v>HDG-8.8</v>
      </c>
      <c r="G73" s="161">
        <f>SUMIF('PRINT SHEET'!$F:$F,$D73&amp;"-"&amp;$F73,'PRINT SHEET'!$G:$G)</f>
        <v>257</v>
      </c>
      <c r="H73" s="162"/>
      <c r="I73" s="162"/>
      <c r="J73" s="163"/>
    </row>
    <row r="74" spans="4:10" x14ac:dyDescent="0.25">
      <c r="D74" s="161" t="s">
        <v>44</v>
      </c>
      <c r="E74" s="163"/>
      <c r="F74" s="7" t="str">
        <f t="shared" si="2"/>
        <v>HDG-8.8</v>
      </c>
      <c r="G74" s="161">
        <f>SUMIF('PRINT SHEET'!$F:$F,$D74&amp;"-"&amp;$F74,'PRINT SHEET'!$G:$G)</f>
        <v>60</v>
      </c>
      <c r="H74" s="162"/>
      <c r="I74" s="162"/>
      <c r="J74" s="163"/>
    </row>
    <row r="75" spans="4:10" x14ac:dyDescent="0.25">
      <c r="D75" s="161" t="s">
        <v>45</v>
      </c>
      <c r="E75" s="163"/>
      <c r="F75" s="7" t="str">
        <f t="shared" si="2"/>
        <v>HDG-8.8</v>
      </c>
      <c r="G75" s="161">
        <f>SUMIF('PRINT SHEET'!$F:$F,$D75&amp;"-"&amp;$F75,'PRINT SHEET'!$G:$G)</f>
        <v>16</v>
      </c>
      <c r="H75" s="162"/>
      <c r="I75" s="162"/>
      <c r="J75" s="163"/>
    </row>
    <row r="76" spans="4:10" hidden="1" x14ac:dyDescent="0.25">
      <c r="D76" s="161" t="s">
        <v>46</v>
      </c>
      <c r="E76" s="163"/>
      <c r="F76" s="7" t="str">
        <f t="shared" si="2"/>
        <v>HDG-8.8</v>
      </c>
      <c r="G76" s="161">
        <f>SUMIF('PRINT SHEET'!$F:$F,$D76&amp;"-"&amp;$F76,'PRINT SHEET'!$G:$G)</f>
        <v>0</v>
      </c>
      <c r="H76" s="162"/>
      <c r="I76" s="162"/>
      <c r="J76" s="163"/>
    </row>
    <row r="77" spans="4:10" hidden="1" x14ac:dyDescent="0.25">
      <c r="D77" s="161" t="s">
        <v>47</v>
      </c>
      <c r="E77" s="163"/>
      <c r="F77" s="7" t="str">
        <f t="shared" si="2"/>
        <v>HDG-8.8</v>
      </c>
      <c r="G77" s="161">
        <f>SUMIF('PRINT SHEET'!$F:$F,$D77&amp;"-"&amp;$F77,'PRINT SHEET'!$G:$G)</f>
        <v>0</v>
      </c>
      <c r="H77" s="162"/>
      <c r="I77" s="162"/>
      <c r="J77" s="163"/>
    </row>
    <row r="78" spans="4:10" hidden="1" x14ac:dyDescent="0.25">
      <c r="D78" s="161" t="s">
        <v>48</v>
      </c>
      <c r="E78" s="163"/>
      <c r="F78" s="7" t="str">
        <f t="shared" si="2"/>
        <v>HDG-8.8</v>
      </c>
      <c r="G78" s="161">
        <f>SUMIF('PRINT SHEET'!$F:$F,$D78&amp;"-"&amp;$F78,'PRINT SHEET'!$G:$G)</f>
        <v>0</v>
      </c>
      <c r="H78" s="162"/>
      <c r="I78" s="162"/>
      <c r="J78" s="163"/>
    </row>
    <row r="79" spans="4:10" x14ac:dyDescent="0.25">
      <c r="D79" s="161" t="s">
        <v>49</v>
      </c>
      <c r="E79" s="163"/>
      <c r="F79" s="7" t="str">
        <f t="shared" si="2"/>
        <v>HDG-8.8</v>
      </c>
      <c r="G79" s="161">
        <f>SUMIF('PRINT SHEET'!$F:$F,$D79&amp;"-"&amp;$F79,'PRINT SHEET'!$G:$G)</f>
        <v>30</v>
      </c>
      <c r="H79" s="162"/>
      <c r="I79" s="162"/>
      <c r="J79" s="163"/>
    </row>
    <row r="80" spans="4:10" x14ac:dyDescent="0.25">
      <c r="D80" s="161" t="s">
        <v>50</v>
      </c>
      <c r="E80" s="163"/>
      <c r="F80" s="7" t="str">
        <f t="shared" si="2"/>
        <v>HDG-8.8</v>
      </c>
      <c r="G80" s="161">
        <f>SUMIF('PRINT SHEET'!$F:$F,$D80&amp;"-"&amp;$F80,'PRINT SHEET'!$G:$G)</f>
        <v>2</v>
      </c>
      <c r="H80" s="162"/>
      <c r="I80" s="162"/>
      <c r="J80" s="163"/>
    </row>
    <row r="81" spans="4:10" x14ac:dyDescent="0.25">
      <c r="D81" s="161" t="s">
        <v>51</v>
      </c>
      <c r="E81" s="163"/>
      <c r="F81" s="7" t="str">
        <f t="shared" si="2"/>
        <v>HDG-8.8</v>
      </c>
      <c r="G81" s="161">
        <f>SUMIF('PRINT SHEET'!$F:$F,$D81&amp;"-"&amp;$F81,'PRINT SHEET'!$G:$G)</f>
        <v>48</v>
      </c>
      <c r="H81" s="162"/>
      <c r="I81" s="162"/>
      <c r="J81" s="163"/>
    </row>
    <row r="82" spans="4:10" x14ac:dyDescent="0.25">
      <c r="D82" s="161" t="s">
        <v>52</v>
      </c>
      <c r="E82" s="163"/>
      <c r="F82" s="7" t="str">
        <f t="shared" si="2"/>
        <v>HDG-8.8</v>
      </c>
      <c r="G82" s="161">
        <f>SUMIF('PRINT SHEET'!$F:$F,$D82&amp;"-"&amp;$F82,'PRINT SHEET'!$G:$G)</f>
        <v>24</v>
      </c>
      <c r="H82" s="162"/>
      <c r="I82" s="162"/>
      <c r="J82" s="163"/>
    </row>
    <row r="83" spans="4:10" hidden="1" x14ac:dyDescent="0.25">
      <c r="D83" s="161" t="s">
        <v>53</v>
      </c>
      <c r="E83" s="163"/>
      <c r="F83" s="7" t="str">
        <f t="shared" si="2"/>
        <v>HDG-8.8</v>
      </c>
      <c r="G83" s="161">
        <f>SUMIF('PRINT SHEET'!$F:$F,$D83&amp;"-"&amp;$F83,'PRINT SHEET'!$G:$G)</f>
        <v>0</v>
      </c>
      <c r="H83" s="162"/>
      <c r="I83" s="162"/>
      <c r="J83" s="163"/>
    </row>
    <row r="84" spans="4:10" hidden="1" x14ac:dyDescent="0.25">
      <c r="D84" s="161" t="s">
        <v>54</v>
      </c>
      <c r="E84" s="163"/>
      <c r="F84" s="7" t="str">
        <f t="shared" si="2"/>
        <v>HDG-8.8</v>
      </c>
      <c r="G84" s="161">
        <f>SUMIF('PRINT SHEET'!$F:$F,$D84&amp;"-"&amp;$F84,'PRINT SHEET'!$G:$G)</f>
        <v>0</v>
      </c>
      <c r="H84" s="162"/>
      <c r="I84" s="162"/>
      <c r="J84" s="163"/>
    </row>
    <row r="85" spans="4:10" x14ac:dyDescent="0.25">
      <c r="D85" s="161" t="s">
        <v>55</v>
      </c>
      <c r="E85" s="163"/>
      <c r="F85" s="7" t="str">
        <f t="shared" si="2"/>
        <v>HDG-8.8</v>
      </c>
      <c r="G85" s="161">
        <f>SUMIF('PRINT SHEET'!$F:$F,$D85&amp;"-"&amp;$F85,'PRINT SHEET'!$G:$G)</f>
        <v>20</v>
      </c>
      <c r="H85" s="162"/>
      <c r="I85" s="162"/>
      <c r="J85" s="163"/>
    </row>
    <row r="86" spans="4:10" x14ac:dyDescent="0.25">
      <c r="D86" s="161" t="s">
        <v>56</v>
      </c>
      <c r="E86" s="163"/>
      <c r="F86" s="7" t="str">
        <f t="shared" si="2"/>
        <v>HDG-8.8</v>
      </c>
      <c r="G86" s="161">
        <f>SUMIF('PRINT SHEET'!$F:$F,$D86&amp;"-"&amp;$F86,'PRINT SHEET'!$G:$G)</f>
        <v>125</v>
      </c>
      <c r="H86" s="162"/>
      <c r="I86" s="162"/>
      <c r="J86" s="163"/>
    </row>
    <row r="87" spans="4:10" x14ac:dyDescent="0.25">
      <c r="D87" s="161" t="s">
        <v>57</v>
      </c>
      <c r="E87" s="163"/>
      <c r="F87" s="7" t="str">
        <f t="shared" si="2"/>
        <v>HDG-8.8</v>
      </c>
      <c r="G87" s="161">
        <f>SUMIF('PRINT SHEET'!$F:$F,$D87&amp;"-"&amp;$F87,'PRINT SHEET'!$G:$G)</f>
        <v>2</v>
      </c>
      <c r="H87" s="162"/>
      <c r="I87" s="162"/>
      <c r="J87" s="163"/>
    </row>
    <row r="88" spans="4:10" x14ac:dyDescent="0.25">
      <c r="D88" s="161" t="s">
        <v>58</v>
      </c>
      <c r="E88" s="163"/>
      <c r="F88" s="7" t="str">
        <f t="shared" si="2"/>
        <v>HDG-8.8</v>
      </c>
      <c r="G88" s="161">
        <f>SUMIF('PRINT SHEET'!$F:$F,$D88&amp;"-"&amp;$F88,'PRINT SHEET'!$G:$G)</f>
        <v>10</v>
      </c>
      <c r="H88" s="162"/>
      <c r="I88" s="162"/>
      <c r="J88" s="163"/>
    </row>
    <row r="89" spans="4:10" x14ac:dyDescent="0.25">
      <c r="D89" s="161" t="s">
        <v>59</v>
      </c>
      <c r="E89" s="163"/>
      <c r="F89" s="7" t="str">
        <f t="shared" si="2"/>
        <v>HDG-8.8</v>
      </c>
      <c r="G89" s="161">
        <f>SUMIF('PRINT SHEET'!$F:$F,$D89&amp;"-"&amp;$F89,'PRINT SHEET'!$G:$G)</f>
        <v>40</v>
      </c>
      <c r="H89" s="162"/>
      <c r="I89" s="162"/>
      <c r="J89" s="163"/>
    </row>
    <row r="90" spans="4:10" hidden="1" x14ac:dyDescent="0.25">
      <c r="D90" s="161" t="s">
        <v>60</v>
      </c>
      <c r="E90" s="163"/>
      <c r="F90" s="7" t="str">
        <f t="shared" si="2"/>
        <v>HDG-8.8</v>
      </c>
      <c r="G90" s="161">
        <f>SUMIF('PRINT SHEET'!$F:$F,$D90&amp;"-"&amp;$F90,'PRINT SHEET'!$G:$G)</f>
        <v>0</v>
      </c>
      <c r="H90" s="162"/>
      <c r="I90" s="162"/>
      <c r="J90" s="163"/>
    </row>
    <row r="91" spans="4:10" x14ac:dyDescent="0.25">
      <c r="D91" s="161" t="s">
        <v>61</v>
      </c>
      <c r="E91" s="163"/>
      <c r="F91" s="7" t="str">
        <f t="shared" si="2"/>
        <v>HDG-8.8</v>
      </c>
      <c r="G91" s="161">
        <f>SUMIF('PRINT SHEET'!$F:$F,$D91&amp;"-"&amp;$F91,'PRINT SHEET'!$G:$G)</f>
        <v>12</v>
      </c>
      <c r="H91" s="162"/>
      <c r="I91" s="162"/>
      <c r="J91" s="163"/>
    </row>
    <row r="92" spans="4:10" x14ac:dyDescent="0.25">
      <c r="D92" s="161" t="s">
        <v>62</v>
      </c>
      <c r="E92" s="163"/>
      <c r="F92" s="7" t="str">
        <f t="shared" si="2"/>
        <v>HDG-8.8</v>
      </c>
      <c r="G92" s="161">
        <f>SUMIF('PRINT SHEET'!$F:$F,$D92&amp;"-"&amp;$F92,'PRINT SHEET'!$G:$G)</f>
        <v>63</v>
      </c>
      <c r="H92" s="162"/>
      <c r="I92" s="162"/>
      <c r="J92" s="163"/>
    </row>
    <row r="93" spans="4:10" x14ac:dyDescent="0.25">
      <c r="D93" s="161" t="s">
        <v>63</v>
      </c>
      <c r="E93" s="163"/>
      <c r="F93" s="7" t="str">
        <f t="shared" si="2"/>
        <v>HDG-8.8</v>
      </c>
      <c r="G93" s="161">
        <f>SUMIF('PRINT SHEET'!$F:$F,$D93&amp;"-"&amp;$F93,'PRINT SHEET'!$G:$G)</f>
        <v>1</v>
      </c>
      <c r="H93" s="162"/>
      <c r="I93" s="162"/>
      <c r="J93" s="163"/>
    </row>
    <row r="94" spans="4:10" x14ac:dyDescent="0.25">
      <c r="D94" s="161"/>
      <c r="E94" s="163"/>
      <c r="F94" s="7"/>
      <c r="G94" s="161"/>
      <c r="H94" s="162"/>
      <c r="I94" s="162"/>
      <c r="J94" s="163"/>
    </row>
    <row r="95" spans="4:10" x14ac:dyDescent="0.25">
      <c r="D95" s="173" t="s">
        <v>65</v>
      </c>
      <c r="E95" s="162"/>
      <c r="F95" s="156" t="s">
        <v>11</v>
      </c>
      <c r="G95" s="175" t="s">
        <v>66</v>
      </c>
      <c r="H95" s="162"/>
      <c r="I95" s="162"/>
      <c r="J95" s="163"/>
    </row>
    <row r="96" spans="4:10" hidden="1" x14ac:dyDescent="0.25">
      <c r="D96" s="161" t="s">
        <v>67</v>
      </c>
      <c r="E96" s="163"/>
      <c r="F96" s="7" t="str">
        <f t="shared" ref="F96:F110" si="3">$E$7</f>
        <v>HDG-8.8</v>
      </c>
      <c r="G96" s="161">
        <f>SUMIF('PRINT SHEET'!$F:$F,$D96&amp;"-"&amp;$F96,'PRINT SHEET'!$G:$G)</f>
        <v>0</v>
      </c>
      <c r="H96" s="162"/>
      <c r="I96" s="162"/>
      <c r="J96" s="163"/>
    </row>
    <row r="97" spans="4:10" hidden="1" x14ac:dyDescent="0.25">
      <c r="D97" s="161" t="s">
        <v>68</v>
      </c>
      <c r="E97" s="163"/>
      <c r="F97" s="7" t="str">
        <f t="shared" si="3"/>
        <v>HDG-8.8</v>
      </c>
      <c r="G97" s="161">
        <f>SUMIF('PRINT SHEET'!$F:$F,$D97&amp;"-"&amp;$F97,'PRINT SHEET'!$G:$G)</f>
        <v>0</v>
      </c>
      <c r="H97" s="162"/>
      <c r="I97" s="162"/>
      <c r="J97" s="163"/>
    </row>
    <row r="98" spans="4:10" hidden="1" x14ac:dyDescent="0.25">
      <c r="D98" s="161" t="s">
        <v>69</v>
      </c>
      <c r="E98" s="163"/>
      <c r="F98" s="7" t="str">
        <f t="shared" si="3"/>
        <v>HDG-8.8</v>
      </c>
      <c r="G98" s="161">
        <f>SUMIF('PRINT SHEET'!$F:$F,$D98&amp;"-"&amp;$F98,'PRINT SHEET'!$G:$G)</f>
        <v>0</v>
      </c>
      <c r="H98" s="162"/>
      <c r="I98" s="162"/>
      <c r="J98" s="163"/>
    </row>
    <row r="99" spans="4:10" hidden="1" x14ac:dyDescent="0.25">
      <c r="D99" s="161" t="s">
        <v>70</v>
      </c>
      <c r="E99" s="163"/>
      <c r="F99" s="7" t="str">
        <f t="shared" si="3"/>
        <v>HDG-8.8</v>
      </c>
      <c r="G99" s="161">
        <f>SUMIF('PRINT SHEET'!$F:$F,$D99&amp;"-"&amp;$F99,'PRINT SHEET'!$G:$G)</f>
        <v>0</v>
      </c>
      <c r="H99" s="162"/>
      <c r="I99" s="162"/>
      <c r="J99" s="163"/>
    </row>
    <row r="100" spans="4:10" x14ac:dyDescent="0.25">
      <c r="D100" s="161" t="s">
        <v>71</v>
      </c>
      <c r="E100" s="163"/>
      <c r="F100" s="7" t="str">
        <f t="shared" si="3"/>
        <v>HDG-8.8</v>
      </c>
      <c r="G100" s="161">
        <f>SUMIF('PRINT SHEET'!$F:$F,$D100&amp;"-"&amp;$F100,'PRINT SHEET'!$G:$G)</f>
        <v>8</v>
      </c>
      <c r="H100" s="162"/>
      <c r="I100" s="162"/>
      <c r="J100" s="163"/>
    </row>
    <row r="101" spans="4:10" hidden="1" x14ac:dyDescent="0.25">
      <c r="D101" s="161" t="s">
        <v>72</v>
      </c>
      <c r="E101" s="163"/>
      <c r="F101" s="7" t="str">
        <f t="shared" si="3"/>
        <v>HDG-8.8</v>
      </c>
      <c r="G101" s="161">
        <f>SUMIF('PRINT SHEET'!$F:$F,$D101&amp;"-"&amp;$F101,'PRINT SHEET'!$G:$G)</f>
        <v>0</v>
      </c>
      <c r="H101" s="162"/>
      <c r="I101" s="162"/>
      <c r="J101" s="163"/>
    </row>
    <row r="102" spans="4:10" hidden="1" x14ac:dyDescent="0.25">
      <c r="D102" s="161" t="s">
        <v>73</v>
      </c>
      <c r="E102" s="163"/>
      <c r="F102" s="7" t="str">
        <f t="shared" si="3"/>
        <v>HDG-8.8</v>
      </c>
      <c r="G102" s="161">
        <f>SUMIF('PRINT SHEET'!$F:$F,$D102&amp;"-"&amp;$F102,'PRINT SHEET'!$G:$G)</f>
        <v>0</v>
      </c>
      <c r="H102" s="162"/>
      <c r="I102" s="162"/>
      <c r="J102" s="163"/>
    </row>
    <row r="103" spans="4:10" hidden="1" x14ac:dyDescent="0.25">
      <c r="D103" s="161" t="s">
        <v>74</v>
      </c>
      <c r="E103" s="163"/>
      <c r="F103" s="7" t="str">
        <f t="shared" si="3"/>
        <v>HDG-8.8</v>
      </c>
      <c r="G103" s="161">
        <f>SUMIF('PRINT SHEET'!$F:$F,$D103&amp;"-"&amp;$F103,'PRINT SHEET'!$G:$G)</f>
        <v>0</v>
      </c>
      <c r="H103" s="162"/>
      <c r="I103" s="162"/>
      <c r="J103" s="163"/>
    </row>
    <row r="104" spans="4:10" hidden="1" x14ac:dyDescent="0.25">
      <c r="D104" s="161" t="s">
        <v>75</v>
      </c>
      <c r="E104" s="163"/>
      <c r="F104" s="7" t="str">
        <f t="shared" si="3"/>
        <v>HDG-8.8</v>
      </c>
      <c r="G104" s="161">
        <f>SUMIF('PRINT SHEET'!$F:$F,$D104&amp;"-"&amp;$F104,'PRINT SHEET'!$G:$G)</f>
        <v>0</v>
      </c>
      <c r="H104" s="162"/>
      <c r="I104" s="162"/>
      <c r="J104" s="163"/>
    </row>
    <row r="105" spans="4:10" hidden="1" x14ac:dyDescent="0.25">
      <c r="D105" s="161" t="s">
        <v>76</v>
      </c>
      <c r="E105" s="163"/>
      <c r="F105" s="7" t="str">
        <f t="shared" si="3"/>
        <v>HDG-8.8</v>
      </c>
      <c r="G105" s="161">
        <f>SUMIF('PRINT SHEET'!$F:$F,$D105&amp;"-"&amp;$F105,'PRINT SHEET'!$G:$G)</f>
        <v>0</v>
      </c>
      <c r="H105" s="162"/>
      <c r="I105" s="162"/>
      <c r="J105" s="163"/>
    </row>
    <row r="106" spans="4:10" x14ac:dyDescent="0.25">
      <c r="D106" s="161" t="s">
        <v>77</v>
      </c>
      <c r="E106" s="163"/>
      <c r="F106" s="7" t="str">
        <f t="shared" si="3"/>
        <v>HDG-8.8</v>
      </c>
      <c r="G106" s="161">
        <f>SUMIF('PRINT SHEET'!$F:$F,$D106&amp;"-"&amp;$F106,'PRINT SHEET'!$G:$G)</f>
        <v>6</v>
      </c>
      <c r="H106" s="162"/>
      <c r="I106" s="162"/>
      <c r="J106" s="163"/>
    </row>
    <row r="107" spans="4:10" x14ac:dyDescent="0.25">
      <c r="D107" s="161" t="s">
        <v>78</v>
      </c>
      <c r="E107" s="163"/>
      <c r="F107" s="7" t="str">
        <f t="shared" si="3"/>
        <v>HDG-8.8</v>
      </c>
      <c r="G107" s="161">
        <f>SUMIF('PRINT SHEET'!$F:$F,$D107&amp;"-"&amp;$F107,'PRINT SHEET'!$G:$G)</f>
        <v>12</v>
      </c>
      <c r="H107" s="162"/>
      <c r="I107" s="162"/>
      <c r="J107" s="163"/>
    </row>
    <row r="108" spans="4:10" hidden="1" x14ac:dyDescent="0.25">
      <c r="D108" s="161" t="s">
        <v>79</v>
      </c>
      <c r="E108" s="163"/>
      <c r="F108" s="7" t="str">
        <f t="shared" si="3"/>
        <v>HDG-8.8</v>
      </c>
      <c r="G108" s="161">
        <f>SUMIF('PRINT SHEET'!$F:$F,$D108&amp;"-"&amp;$F108,'PRINT SHEET'!$G:$G)</f>
        <v>0</v>
      </c>
      <c r="H108" s="162"/>
      <c r="I108" s="162"/>
      <c r="J108" s="163"/>
    </row>
    <row r="109" spans="4:10" hidden="1" x14ac:dyDescent="0.25">
      <c r="D109" s="161" t="s">
        <v>80</v>
      </c>
      <c r="E109" s="163"/>
      <c r="F109" s="7" t="str">
        <f t="shared" si="3"/>
        <v>HDG-8.8</v>
      </c>
      <c r="G109" s="161">
        <f>SUMIF('PRINT SHEET'!$F:$F,$D109&amp;"-"&amp;$F109,'PRINT SHEET'!$G:$G)</f>
        <v>0</v>
      </c>
      <c r="H109" s="162"/>
      <c r="I109" s="162"/>
      <c r="J109" s="163"/>
    </row>
    <row r="110" spans="4:10" x14ac:dyDescent="0.25">
      <c r="D110" s="161" t="s">
        <v>81</v>
      </c>
      <c r="E110" s="163"/>
      <c r="F110" s="7" t="str">
        <f t="shared" si="3"/>
        <v>HDG-8.8</v>
      </c>
      <c r="G110" s="161">
        <f>SUMIF('PRINT SHEET'!$F:$F,$D110&amp;"-"&amp;$F110,'PRINT SHEET'!$G:$G)</f>
        <v>12</v>
      </c>
      <c r="H110" s="162"/>
      <c r="I110" s="162"/>
      <c r="J110" s="163"/>
    </row>
    <row r="111" spans="4:10" hidden="1" x14ac:dyDescent="0.25">
      <c r="D111" s="161" t="s">
        <v>67</v>
      </c>
      <c r="E111" s="163"/>
      <c r="F111" s="7" t="str">
        <f t="shared" ref="F111:F125" si="4">$E$8</f>
        <v>HDG-8.8</v>
      </c>
      <c r="G111" s="161">
        <f>SUMIF('PRINT SHEET'!$F:$F,$D111&amp;"-"&amp;$F111,'PRINT SHEET'!$G:$G)</f>
        <v>0</v>
      </c>
      <c r="H111" s="162"/>
      <c r="I111" s="162"/>
      <c r="J111" s="163"/>
    </row>
    <row r="112" spans="4:10" hidden="1" x14ac:dyDescent="0.25">
      <c r="D112" s="161" t="s">
        <v>68</v>
      </c>
      <c r="E112" s="163"/>
      <c r="F112" s="7" t="str">
        <f t="shared" si="4"/>
        <v>HDG-8.8</v>
      </c>
      <c r="G112" s="161">
        <f>SUMIF('PRINT SHEET'!$F:$F,$D112&amp;"-"&amp;$F112,'PRINT SHEET'!$G:$G)</f>
        <v>0</v>
      </c>
      <c r="H112" s="162"/>
      <c r="I112" s="162"/>
      <c r="J112" s="163"/>
    </row>
    <row r="113" spans="2:10" hidden="1" x14ac:dyDescent="0.25">
      <c r="D113" s="161" t="s">
        <v>69</v>
      </c>
      <c r="E113" s="163"/>
      <c r="F113" s="7" t="str">
        <f t="shared" si="4"/>
        <v>HDG-8.8</v>
      </c>
      <c r="G113" s="161">
        <f>SUMIF('PRINT SHEET'!$F:$F,$D113&amp;"-"&amp;$F113,'PRINT SHEET'!$G:$G)</f>
        <v>0</v>
      </c>
      <c r="H113" s="162"/>
      <c r="I113" s="162"/>
      <c r="J113" s="163"/>
    </row>
    <row r="114" spans="2:10" hidden="1" x14ac:dyDescent="0.25">
      <c r="D114" s="161" t="s">
        <v>70</v>
      </c>
      <c r="E114" s="163"/>
      <c r="F114" s="7" t="str">
        <f t="shared" si="4"/>
        <v>HDG-8.8</v>
      </c>
      <c r="G114" s="161">
        <f>SUMIF('PRINT SHEET'!$F:$F,$D114&amp;"-"&amp;$F114,'PRINT SHEET'!$G:$G)</f>
        <v>0</v>
      </c>
      <c r="H114" s="162"/>
      <c r="I114" s="162"/>
      <c r="J114" s="163"/>
    </row>
    <row r="115" spans="2:10" x14ac:dyDescent="0.25">
      <c r="D115" s="161" t="s">
        <v>71</v>
      </c>
      <c r="E115" s="163"/>
      <c r="F115" s="7" t="str">
        <f t="shared" si="4"/>
        <v>HDG-8.8</v>
      </c>
      <c r="G115" s="161">
        <f>SUMIF('PRINT SHEET'!$F:$F,$D115&amp;"-"&amp;$F115,'PRINT SHEET'!$G:$G)</f>
        <v>8</v>
      </c>
      <c r="H115" s="162"/>
      <c r="I115" s="162"/>
      <c r="J115" s="163"/>
    </row>
    <row r="116" spans="2:10" hidden="1" x14ac:dyDescent="0.25">
      <c r="D116" s="161" t="s">
        <v>72</v>
      </c>
      <c r="E116" s="163"/>
      <c r="F116" s="7" t="str">
        <f t="shared" si="4"/>
        <v>HDG-8.8</v>
      </c>
      <c r="G116" s="161">
        <f>SUMIF('PRINT SHEET'!$F:$F,$D116&amp;"-"&amp;$F116,'PRINT SHEET'!$G:$G)</f>
        <v>0</v>
      </c>
      <c r="H116" s="162"/>
      <c r="I116" s="162"/>
      <c r="J116" s="163"/>
    </row>
    <row r="117" spans="2:10" hidden="1" x14ac:dyDescent="0.25">
      <c r="D117" s="161" t="s">
        <v>73</v>
      </c>
      <c r="E117" s="163"/>
      <c r="F117" s="7" t="str">
        <f t="shared" si="4"/>
        <v>HDG-8.8</v>
      </c>
      <c r="G117" s="161">
        <f>SUMIF('PRINT SHEET'!$F:$F,$D117&amp;"-"&amp;$F117,'PRINT SHEET'!$G:$G)</f>
        <v>0</v>
      </c>
      <c r="H117" s="162"/>
      <c r="I117" s="162"/>
      <c r="J117" s="163"/>
    </row>
    <row r="118" spans="2:10" hidden="1" x14ac:dyDescent="0.25">
      <c r="D118" s="161" t="s">
        <v>74</v>
      </c>
      <c r="E118" s="163"/>
      <c r="F118" s="7" t="str">
        <f t="shared" si="4"/>
        <v>HDG-8.8</v>
      </c>
      <c r="G118" s="161">
        <f>SUMIF('PRINT SHEET'!$F:$F,$D118&amp;"-"&amp;$F118,'PRINT SHEET'!$G:$G)</f>
        <v>0</v>
      </c>
      <c r="H118" s="162"/>
      <c r="I118" s="162"/>
      <c r="J118" s="163"/>
    </row>
    <row r="119" spans="2:10" hidden="1" x14ac:dyDescent="0.25">
      <c r="D119" s="161" t="s">
        <v>75</v>
      </c>
      <c r="E119" s="163"/>
      <c r="F119" s="7" t="str">
        <f t="shared" si="4"/>
        <v>HDG-8.8</v>
      </c>
      <c r="G119" s="161">
        <f>SUMIF('PRINT SHEET'!$F:$F,$D119&amp;"-"&amp;$F119,'PRINT SHEET'!$G:$G)</f>
        <v>0</v>
      </c>
      <c r="H119" s="162"/>
      <c r="I119" s="162"/>
      <c r="J119" s="163"/>
    </row>
    <row r="120" spans="2:10" hidden="1" x14ac:dyDescent="0.25">
      <c r="D120" s="161" t="s">
        <v>76</v>
      </c>
      <c r="E120" s="163"/>
      <c r="F120" s="7" t="str">
        <f t="shared" si="4"/>
        <v>HDG-8.8</v>
      </c>
      <c r="G120" s="161">
        <f>SUMIF('PRINT SHEET'!$F:$F,$D120&amp;"-"&amp;$F120,'PRINT SHEET'!$G:$G)</f>
        <v>0</v>
      </c>
      <c r="H120" s="162"/>
      <c r="I120" s="162"/>
      <c r="J120" s="163"/>
    </row>
    <row r="121" spans="2:10" x14ac:dyDescent="0.25">
      <c r="D121" s="161" t="s">
        <v>77</v>
      </c>
      <c r="E121" s="163"/>
      <c r="F121" s="7" t="str">
        <f t="shared" si="4"/>
        <v>HDG-8.8</v>
      </c>
      <c r="G121" s="161">
        <f>SUMIF('PRINT SHEET'!$F:$F,$D121&amp;"-"&amp;$F121,'PRINT SHEET'!$G:$G)</f>
        <v>6</v>
      </c>
      <c r="H121" s="162"/>
      <c r="I121" s="162"/>
      <c r="J121" s="163"/>
    </row>
    <row r="122" spans="2:10" x14ac:dyDescent="0.25">
      <c r="D122" s="161" t="s">
        <v>78</v>
      </c>
      <c r="E122" s="163"/>
      <c r="F122" s="7" t="str">
        <f t="shared" si="4"/>
        <v>HDG-8.8</v>
      </c>
      <c r="G122" s="161">
        <f>SUMIF('PRINT SHEET'!$F:$F,$D122&amp;"-"&amp;$F122,'PRINT SHEET'!$G:$G)</f>
        <v>12</v>
      </c>
      <c r="H122" s="162"/>
      <c r="I122" s="162"/>
      <c r="J122" s="163"/>
    </row>
    <row r="123" spans="2:10" hidden="1" x14ac:dyDescent="0.25">
      <c r="D123" s="161" t="s">
        <v>79</v>
      </c>
      <c r="E123" s="163"/>
      <c r="F123" s="7" t="str">
        <f t="shared" si="4"/>
        <v>HDG-8.8</v>
      </c>
      <c r="G123" s="161">
        <f>SUMIF('PRINT SHEET'!$F:$F,$D123&amp;"-"&amp;$F123,'PRINT SHEET'!$G:$G)</f>
        <v>0</v>
      </c>
      <c r="H123" s="162"/>
      <c r="I123" s="162"/>
      <c r="J123" s="163"/>
    </row>
    <row r="124" spans="2:10" hidden="1" x14ac:dyDescent="0.25">
      <c r="D124" s="161" t="s">
        <v>80</v>
      </c>
      <c r="E124" s="163"/>
      <c r="F124" s="7" t="str">
        <f t="shared" si="4"/>
        <v>HDG-8.8</v>
      </c>
      <c r="G124" s="161">
        <f>SUMIF('PRINT SHEET'!$F:$F,$D124&amp;"-"&amp;$F124,'PRINT SHEET'!$G:$G)</f>
        <v>0</v>
      </c>
      <c r="H124" s="162"/>
      <c r="I124" s="162"/>
      <c r="J124" s="163"/>
    </row>
    <row r="125" spans="2:10" x14ac:dyDescent="0.25">
      <c r="D125" s="161" t="s">
        <v>81</v>
      </c>
      <c r="E125" s="163"/>
      <c r="F125" s="7" t="str">
        <f t="shared" si="4"/>
        <v>HDG-8.8</v>
      </c>
      <c r="G125" s="161">
        <f>SUMIF('PRINT SHEET'!$F:$F,$D125&amp;"-"&amp;$F125,'PRINT SHEET'!$G:$G)</f>
        <v>12</v>
      </c>
      <c r="H125" s="162"/>
      <c r="I125" s="162"/>
      <c r="J125" s="163"/>
    </row>
    <row r="126" spans="2:10" x14ac:dyDescent="0.25">
      <c r="D126" s="161"/>
      <c r="E126" s="163"/>
      <c r="F126" s="7"/>
      <c r="G126" s="161"/>
      <c r="H126" s="162"/>
      <c r="I126" s="162"/>
      <c r="J126" s="163"/>
    </row>
    <row r="127" spans="2:10" x14ac:dyDescent="0.25">
      <c r="B127" s="3" t="s">
        <v>82</v>
      </c>
      <c r="D127" s="111" t="s">
        <v>83</v>
      </c>
    </row>
    <row r="128" spans="2:10" x14ac:dyDescent="0.25">
      <c r="B128" s="3" t="s">
        <v>82</v>
      </c>
      <c r="D128" s="111" t="s">
        <v>84</v>
      </c>
    </row>
    <row r="129" spans="2:10" x14ac:dyDescent="0.25">
      <c r="B129" s="3" t="s">
        <v>82</v>
      </c>
      <c r="D129" s="111"/>
    </row>
    <row r="130" spans="2:10" x14ac:dyDescent="0.25">
      <c r="B130" s="3" t="s">
        <v>82</v>
      </c>
      <c r="D130" s="120" t="s">
        <v>85</v>
      </c>
      <c r="E130" s="178" t="s">
        <v>86</v>
      </c>
      <c r="F130" s="162"/>
      <c r="G130" s="172" t="s">
        <v>87</v>
      </c>
      <c r="H130" s="162"/>
      <c r="I130" s="162"/>
      <c r="J130" s="163"/>
    </row>
    <row r="131" spans="2:10" x14ac:dyDescent="0.25">
      <c r="B131" s="3" t="s">
        <v>82</v>
      </c>
      <c r="D131" s="7" t="s">
        <v>88</v>
      </c>
      <c r="E131" s="179" t="s">
        <v>89</v>
      </c>
      <c r="F131" s="162"/>
      <c r="G131" s="161" t="s">
        <v>88</v>
      </c>
      <c r="H131" s="162"/>
      <c r="I131" s="162"/>
      <c r="J131" s="163"/>
    </row>
  </sheetData>
  <mergeCells count="232">
    <mergeCell ref="E131:F131"/>
    <mergeCell ref="D77:E77"/>
    <mergeCell ref="G40:J40"/>
    <mergeCell ref="G111:J111"/>
    <mergeCell ref="D108:E108"/>
    <mergeCell ref="D86:E86"/>
    <mergeCell ref="G72:J72"/>
    <mergeCell ref="G121:J121"/>
    <mergeCell ref="G34:J34"/>
    <mergeCell ref="D51:E51"/>
    <mergeCell ref="G74:J74"/>
    <mergeCell ref="D113:E113"/>
    <mergeCell ref="G68:J68"/>
    <mergeCell ref="G108:J108"/>
    <mergeCell ref="D88:E88"/>
    <mergeCell ref="G58:J58"/>
    <mergeCell ref="G114:J114"/>
    <mergeCell ref="D35:E35"/>
    <mergeCell ref="G123:J123"/>
    <mergeCell ref="G93:J93"/>
    <mergeCell ref="G46:J46"/>
    <mergeCell ref="D81:E81"/>
    <mergeCell ref="G76:J76"/>
    <mergeCell ref="D36:E36"/>
    <mergeCell ref="D115:E115"/>
    <mergeCell ref="D124:E124"/>
    <mergeCell ref="G102:J102"/>
    <mergeCell ref="E130:F130"/>
    <mergeCell ref="D63:E63"/>
    <mergeCell ref="D13:E13"/>
    <mergeCell ref="G81:J81"/>
    <mergeCell ref="G96:J96"/>
    <mergeCell ref="D61:E61"/>
    <mergeCell ref="D70:E70"/>
    <mergeCell ref="D48:E48"/>
    <mergeCell ref="G71:J71"/>
    <mergeCell ref="D125:E125"/>
    <mergeCell ref="D72:E72"/>
    <mergeCell ref="D78:E78"/>
    <mergeCell ref="D112:E112"/>
    <mergeCell ref="G82:J82"/>
    <mergeCell ref="D62:E62"/>
    <mergeCell ref="D56:E56"/>
    <mergeCell ref="D71:E71"/>
    <mergeCell ref="G57:J57"/>
    <mergeCell ref="G66:J66"/>
    <mergeCell ref="D114:E114"/>
    <mergeCell ref="G53:J53"/>
    <mergeCell ref="D10:E10"/>
    <mergeCell ref="G110:J110"/>
    <mergeCell ref="D19:E19"/>
    <mergeCell ref="D34:E34"/>
    <mergeCell ref="D90:E90"/>
    <mergeCell ref="G22:J22"/>
    <mergeCell ref="D11:E11"/>
    <mergeCell ref="G21:J21"/>
    <mergeCell ref="D14:E14"/>
    <mergeCell ref="D18:E18"/>
    <mergeCell ref="D25:E25"/>
    <mergeCell ref="D83:E83"/>
    <mergeCell ref="G43:J43"/>
    <mergeCell ref="G52:J52"/>
    <mergeCell ref="D41:E41"/>
    <mergeCell ref="D97:E97"/>
    <mergeCell ref="D20:E20"/>
    <mergeCell ref="D60:E60"/>
    <mergeCell ref="D100:E100"/>
    <mergeCell ref="D21:E21"/>
    <mergeCell ref="D32:E32"/>
    <mergeCell ref="G27:J27"/>
    <mergeCell ref="D58:E58"/>
    <mergeCell ref="G28:J28"/>
    <mergeCell ref="G86:J86"/>
    <mergeCell ref="D66:E66"/>
    <mergeCell ref="G45:J45"/>
    <mergeCell ref="G37:J37"/>
    <mergeCell ref="D24:E24"/>
    <mergeCell ref="D64:E64"/>
    <mergeCell ref="D33:E33"/>
    <mergeCell ref="D98:E98"/>
    <mergeCell ref="D73:E73"/>
    <mergeCell ref="G32:J32"/>
    <mergeCell ref="G25:J25"/>
    <mergeCell ref="D31:E31"/>
    <mergeCell ref="D50:E50"/>
    <mergeCell ref="D26:E26"/>
    <mergeCell ref="G51:J51"/>
    <mergeCell ref="G55:J55"/>
    <mergeCell ref="D126:E126"/>
    <mergeCell ref="D75:E75"/>
    <mergeCell ref="G67:J67"/>
    <mergeCell ref="D53:E53"/>
    <mergeCell ref="G61:J61"/>
    <mergeCell ref="D47:E47"/>
    <mergeCell ref="G70:J70"/>
    <mergeCell ref="G48:J48"/>
    <mergeCell ref="G23:J23"/>
    <mergeCell ref="D67:E67"/>
    <mergeCell ref="D85:E85"/>
    <mergeCell ref="D54:E54"/>
    <mergeCell ref="D94:E94"/>
    <mergeCell ref="G80:J80"/>
    <mergeCell ref="G95:J95"/>
    <mergeCell ref="G26:J26"/>
    <mergeCell ref="G35:J35"/>
    <mergeCell ref="D122:E122"/>
    <mergeCell ref="G119:J119"/>
    <mergeCell ref="D45:E45"/>
    <mergeCell ref="G124:J124"/>
    <mergeCell ref="D110:E110"/>
    <mergeCell ref="D44:E44"/>
    <mergeCell ref="D59:E59"/>
    <mergeCell ref="G125:J125"/>
    <mergeCell ref="G38:J38"/>
    <mergeCell ref="G112:J112"/>
    <mergeCell ref="D9:E9"/>
    <mergeCell ref="D118:E118"/>
    <mergeCell ref="D39:E39"/>
    <mergeCell ref="G62:J62"/>
    <mergeCell ref="D15:E15"/>
    <mergeCell ref="G49:J49"/>
    <mergeCell ref="D29:E29"/>
    <mergeCell ref="D23:E23"/>
    <mergeCell ref="D38:E38"/>
    <mergeCell ref="D89:E89"/>
    <mergeCell ref="G24:J24"/>
    <mergeCell ref="G33:J33"/>
    <mergeCell ref="G104:J104"/>
    <mergeCell ref="D79:E79"/>
    <mergeCell ref="G65:J65"/>
    <mergeCell ref="G88:J88"/>
    <mergeCell ref="D12:E12"/>
    <mergeCell ref="G113:J113"/>
    <mergeCell ref="D99:E99"/>
    <mergeCell ref="G91:J91"/>
    <mergeCell ref="G29:J29"/>
    <mergeCell ref="G131:J131"/>
    <mergeCell ref="D52:E52"/>
    <mergeCell ref="D119:E119"/>
    <mergeCell ref="D46:E46"/>
    <mergeCell ref="G54:J54"/>
    <mergeCell ref="D40:E40"/>
    <mergeCell ref="D80:E80"/>
    <mergeCell ref="G63:J63"/>
    <mergeCell ref="G41:J41"/>
    <mergeCell ref="D111:E111"/>
    <mergeCell ref="G50:J50"/>
    <mergeCell ref="G106:J106"/>
    <mergeCell ref="D95:E95"/>
    <mergeCell ref="D104:E104"/>
    <mergeCell ref="G56:J56"/>
    <mergeCell ref="D57:E57"/>
    <mergeCell ref="G105:J105"/>
    <mergeCell ref="G90:J90"/>
    <mergeCell ref="D65:E65"/>
    <mergeCell ref="D96:E96"/>
    <mergeCell ref="G99:J99"/>
    <mergeCell ref="D105:E105"/>
    <mergeCell ref="G60:J60"/>
    <mergeCell ref="G103:J103"/>
    <mergeCell ref="G130:J130"/>
    <mergeCell ref="G115:J115"/>
    <mergeCell ref="D116:E116"/>
    <mergeCell ref="D17:E17"/>
    <mergeCell ref="G117:J117"/>
    <mergeCell ref="D91:E91"/>
    <mergeCell ref="G126:J126"/>
    <mergeCell ref="G39:J39"/>
    <mergeCell ref="G122:J122"/>
    <mergeCell ref="D106:E106"/>
    <mergeCell ref="D28:E28"/>
    <mergeCell ref="D93:E93"/>
    <mergeCell ref="G101:J101"/>
    <mergeCell ref="G116:J116"/>
    <mergeCell ref="D102:E102"/>
    <mergeCell ref="D121:E121"/>
    <mergeCell ref="D74:E74"/>
    <mergeCell ref="D117:E117"/>
    <mergeCell ref="D92:E92"/>
    <mergeCell ref="D55:E55"/>
    <mergeCell ref="D30:E30"/>
    <mergeCell ref="G78:J78"/>
    <mergeCell ref="G118:J118"/>
    <mergeCell ref="G87:J87"/>
    <mergeCell ref="D123:E123"/>
    <mergeCell ref="G120:J120"/>
    <mergeCell ref="G98:J98"/>
    <mergeCell ref="G36:J36"/>
    <mergeCell ref="G42:J42"/>
    <mergeCell ref="G107:J107"/>
    <mergeCell ref="D16:E16"/>
    <mergeCell ref="D87:E87"/>
    <mergeCell ref="D43:E43"/>
    <mergeCell ref="D49:E49"/>
    <mergeCell ref="D27:E27"/>
    <mergeCell ref="D120:E120"/>
    <mergeCell ref="D107:E107"/>
    <mergeCell ref="G59:J59"/>
    <mergeCell ref="G97:J97"/>
    <mergeCell ref="D103:E103"/>
    <mergeCell ref="D37:E37"/>
    <mergeCell ref="G85:J85"/>
    <mergeCell ref="G100:J100"/>
    <mergeCell ref="G94:J94"/>
    <mergeCell ref="G44:J44"/>
    <mergeCell ref="G75:J75"/>
    <mergeCell ref="G84:J84"/>
    <mergeCell ref="D101:E101"/>
    <mergeCell ref="G109:J109"/>
    <mergeCell ref="G47:J47"/>
    <mergeCell ref="D84:E84"/>
    <mergeCell ref="D22:E22"/>
    <mergeCell ref="I4:J4"/>
    <mergeCell ref="D68:E68"/>
    <mergeCell ref="D42:E42"/>
    <mergeCell ref="D82:E82"/>
    <mergeCell ref="G69:J69"/>
    <mergeCell ref="G83:J83"/>
    <mergeCell ref="G92:J92"/>
    <mergeCell ref="G30:J30"/>
    <mergeCell ref="G9:J9"/>
    <mergeCell ref="D2:E4"/>
    <mergeCell ref="F2:G4"/>
    <mergeCell ref="G31:J31"/>
    <mergeCell ref="G89:J89"/>
    <mergeCell ref="D69:E69"/>
    <mergeCell ref="D109:E109"/>
    <mergeCell ref="G64:J64"/>
    <mergeCell ref="G79:J79"/>
    <mergeCell ref="G73:J73"/>
    <mergeCell ref="D76:E76"/>
    <mergeCell ref="G77:J77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767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768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26" t="s">
        <v>769</v>
      </c>
      <c r="G5" s="227"/>
      <c r="H5" s="22"/>
      <c r="I5" s="230" t="s">
        <v>770</v>
      </c>
      <c r="J5" s="231"/>
      <c r="K5" s="232" t="s">
        <v>771</v>
      </c>
      <c r="L5" s="231"/>
    </row>
    <row r="6" spans="2:14" x14ac:dyDescent="0.25">
      <c r="C6" s="27"/>
      <c r="D6" s="4"/>
      <c r="E6" s="3"/>
      <c r="F6" s="170"/>
      <c r="G6" s="224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71"/>
      <c r="G7" s="228"/>
      <c r="H7" s="3"/>
      <c r="I7" s="225" t="s">
        <v>3</v>
      </c>
      <c r="J7" s="169"/>
      <c r="K7" s="236" t="e">
        <f>#REF!</f>
        <v>#REF!</v>
      </c>
      <c r="L7" s="169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29" t="e">
        <f>#REF!</f>
        <v>#REF!</v>
      </c>
      <c r="G8" s="162"/>
      <c r="H8" s="162"/>
      <c r="I8" s="162"/>
      <c r="J8" s="162"/>
      <c r="K8" s="162"/>
      <c r="L8" s="212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39" t="e">
        <f>#REF!</f>
        <v>#REF!</v>
      </c>
      <c r="G9" s="234"/>
      <c r="H9" s="234"/>
      <c r="I9" s="234"/>
      <c r="J9" s="234"/>
      <c r="K9" s="234"/>
      <c r="L9" s="235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430</v>
      </c>
      <c r="D11" s="37" t="s">
        <v>772</v>
      </c>
      <c r="E11" s="38" t="s">
        <v>773</v>
      </c>
      <c r="F11" s="38" t="s">
        <v>99</v>
      </c>
      <c r="G11" s="39" t="s">
        <v>11</v>
      </c>
      <c r="H11" s="40"/>
      <c r="I11" s="220" t="s">
        <v>774</v>
      </c>
      <c r="J11" s="214"/>
      <c r="K11" s="214"/>
      <c r="L11" s="215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17" t="e">
        <f>'TANK HARDWARE'!#REF!+#REF!</f>
        <v>#REF!</v>
      </c>
      <c r="J12" s="218"/>
      <c r="K12" s="218"/>
      <c r="L12" s="219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11" t="e">
        <f>'TANK HARDWARE'!#REF!+#REF!</f>
        <v>#REF!</v>
      </c>
      <c r="J13" s="162"/>
      <c r="K13" s="162"/>
      <c r="L13" s="212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11" t="e">
        <f>'TANK HARDWARE'!#REF!+#REF!</f>
        <v>#REF!</v>
      </c>
      <c r="J14" s="162"/>
      <c r="K14" s="162"/>
      <c r="L14" s="212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11" t="e">
        <f>'TANK HARDWARE'!#REF!+#REF!</f>
        <v>#REF!</v>
      </c>
      <c r="J15" s="162"/>
      <c r="K15" s="162"/>
      <c r="L15" s="212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11" t="e">
        <f>'TANK HARDWARE'!#REF!+#REF!</f>
        <v>#REF!</v>
      </c>
      <c r="J16" s="162"/>
      <c r="K16" s="162"/>
      <c r="L16" s="212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11" t="e">
        <f>'TANK HARDWARE'!#REF!+#REF!</f>
        <v>#REF!</v>
      </c>
      <c r="J17" s="162"/>
      <c r="K17" s="162"/>
      <c r="L17" s="212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11" t="e">
        <f>'TANK HARDWARE'!#REF!+#REF!</f>
        <v>#REF!</v>
      </c>
      <c r="J18" s="162"/>
      <c r="K18" s="162"/>
      <c r="L18" s="212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11" t="e">
        <f>'TANK HARDWARE'!#REF!+#REF!</f>
        <v>#REF!</v>
      </c>
      <c r="J19" s="162"/>
      <c r="K19" s="162"/>
      <c r="L19" s="212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11" t="e">
        <f>'TANK HARDWARE'!#REF!+#REF!</f>
        <v>#REF!</v>
      </c>
      <c r="J20" s="162"/>
      <c r="K20" s="162"/>
      <c r="L20" s="212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11" t="e">
        <f>'TANK HARDWARE'!#REF!+#REF!</f>
        <v>#REF!</v>
      </c>
      <c r="J21" s="162"/>
      <c r="K21" s="162"/>
      <c r="L21" s="212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33" t="e">
        <f>'TANK HARDWARE'!#REF!+#REF!</f>
        <v>#REF!</v>
      </c>
      <c r="J22" s="234"/>
      <c r="K22" s="234"/>
      <c r="L22" s="235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13" t="s">
        <v>775</v>
      </c>
      <c r="D24" s="214"/>
      <c r="E24" s="215"/>
      <c r="F24" s="213" t="s">
        <v>26</v>
      </c>
      <c r="G24" s="214"/>
      <c r="H24" s="214"/>
      <c r="I24" s="214"/>
      <c r="J24" s="214"/>
      <c r="K24" s="214"/>
      <c r="L24" s="215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10" t="e">
        <f>'TANK HARDWARE'!M256</f>
        <v>#REF!</v>
      </c>
      <c r="D25" s="167"/>
      <c r="E25" s="168"/>
      <c r="F25" s="208" t="e">
        <f>'TANK HARDWARE'!#REF!+P25</f>
        <v>#REF!</v>
      </c>
      <c r="G25" s="167"/>
      <c r="H25" s="167"/>
      <c r="I25" s="167"/>
      <c r="J25" s="167"/>
      <c r="K25" s="167"/>
      <c r="L25" s="168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09" t="e">
        <f>'TANK HARDWARE'!M257</f>
        <v>#REF!</v>
      </c>
      <c r="D26" s="162"/>
      <c r="E26" s="163"/>
      <c r="F26" s="208" t="e">
        <f>'TANK HARDWARE'!#REF!+P26</f>
        <v>#REF!</v>
      </c>
      <c r="G26" s="167"/>
      <c r="H26" s="167"/>
      <c r="I26" s="167"/>
      <c r="J26" s="167"/>
      <c r="K26" s="167"/>
      <c r="L26" s="168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09" t="e">
        <f>'TANK HARDWARE'!M258</f>
        <v>#REF!</v>
      </c>
      <c r="D27" s="162"/>
      <c r="E27" s="163"/>
      <c r="F27" s="208" t="e">
        <f>'TANK HARDWARE'!#REF!+P27</f>
        <v>#REF!</v>
      </c>
      <c r="G27" s="167"/>
      <c r="H27" s="167"/>
      <c r="I27" s="167"/>
      <c r="J27" s="167"/>
      <c r="K27" s="167"/>
      <c r="L27" s="168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09" t="e">
        <f>'TANK HARDWARE'!M259</f>
        <v>#REF!</v>
      </c>
      <c r="D28" s="162"/>
      <c r="E28" s="163"/>
      <c r="F28" s="208" t="e">
        <f>'TANK HARDWARE'!#REF!+P28</f>
        <v>#REF!</v>
      </c>
      <c r="G28" s="167"/>
      <c r="H28" s="167"/>
      <c r="I28" s="167"/>
      <c r="J28" s="167"/>
      <c r="K28" s="167"/>
      <c r="L28" s="168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09" t="e">
        <f>'TANK HARDWARE'!M260</f>
        <v>#REF!</v>
      </c>
      <c r="D29" s="162"/>
      <c r="E29" s="163"/>
      <c r="F29" s="208" t="e">
        <f>'TANK HARDWARE'!#REF!+P29</f>
        <v>#REF!</v>
      </c>
      <c r="G29" s="167"/>
      <c r="H29" s="167"/>
      <c r="I29" s="167"/>
      <c r="J29" s="167"/>
      <c r="K29" s="167"/>
      <c r="L29" s="168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09" t="e">
        <f>'TANK HARDWARE'!M261</f>
        <v>#REF!</v>
      </c>
      <c r="D30" s="162"/>
      <c r="E30" s="163"/>
      <c r="F30" s="208" t="e">
        <f>'TANK HARDWARE'!#REF!+P30</f>
        <v>#REF!</v>
      </c>
      <c r="G30" s="167"/>
      <c r="H30" s="167"/>
      <c r="I30" s="167"/>
      <c r="J30" s="167"/>
      <c r="K30" s="167"/>
      <c r="L30" s="168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09" t="e">
        <f>'TANK HARDWARE'!M262</f>
        <v>#REF!</v>
      </c>
      <c r="D31" s="162"/>
      <c r="E31" s="163"/>
      <c r="F31" s="208" t="e">
        <f>'TANK HARDWARE'!#REF!+P31</f>
        <v>#REF!</v>
      </c>
      <c r="G31" s="167"/>
      <c r="H31" s="167"/>
      <c r="I31" s="167"/>
      <c r="J31" s="167"/>
      <c r="K31" s="167"/>
      <c r="L31" s="168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09" t="e">
        <f>'TANK HARDWARE'!M263</f>
        <v>#REF!</v>
      </c>
      <c r="D32" s="162"/>
      <c r="E32" s="163"/>
      <c r="F32" s="208" t="e">
        <f>'TANK HARDWARE'!#REF!+P32</f>
        <v>#REF!</v>
      </c>
      <c r="G32" s="167"/>
      <c r="H32" s="167"/>
      <c r="I32" s="167"/>
      <c r="J32" s="167"/>
      <c r="K32" s="167"/>
      <c r="L32" s="168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09" t="e">
        <f>'TANK HARDWARE'!M264</f>
        <v>#REF!</v>
      </c>
      <c r="D33" s="162"/>
      <c r="E33" s="163"/>
      <c r="F33" s="208" t="e">
        <f>'TANK HARDWARE'!#REF!+P33</f>
        <v>#REF!</v>
      </c>
      <c r="G33" s="167"/>
      <c r="H33" s="167"/>
      <c r="I33" s="167"/>
      <c r="J33" s="167"/>
      <c r="K33" s="167"/>
      <c r="L33" s="168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09" t="e">
        <f>'TANK HARDWARE'!M265</f>
        <v>#REF!</v>
      </c>
      <c r="D34" s="162"/>
      <c r="E34" s="163"/>
      <c r="F34" s="208" t="e">
        <f>'TANK HARDWARE'!#REF!+P34</f>
        <v>#REF!</v>
      </c>
      <c r="G34" s="167"/>
      <c r="H34" s="167"/>
      <c r="I34" s="167"/>
      <c r="J34" s="167"/>
      <c r="K34" s="167"/>
      <c r="L34" s="168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09" t="e">
        <f>'TANK HARDWARE'!M266</f>
        <v>#REF!</v>
      </c>
      <c r="D35" s="162"/>
      <c r="E35" s="163"/>
      <c r="F35" s="208" t="e">
        <f>'TANK HARDWARE'!#REF!+P35</f>
        <v>#REF!</v>
      </c>
      <c r="G35" s="167"/>
      <c r="H35" s="167"/>
      <c r="I35" s="167"/>
      <c r="J35" s="167"/>
      <c r="K35" s="167"/>
      <c r="L35" s="168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09" t="e">
        <f>'TANK HARDWARE'!M267</f>
        <v>#REF!</v>
      </c>
      <c r="D36" s="162"/>
      <c r="E36" s="163"/>
      <c r="F36" s="208" t="e">
        <f>'TANK HARDWARE'!#REF!+P36</f>
        <v>#REF!</v>
      </c>
      <c r="G36" s="167"/>
      <c r="H36" s="167"/>
      <c r="I36" s="167"/>
      <c r="J36" s="167"/>
      <c r="K36" s="167"/>
      <c r="L36" s="168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09" t="e">
        <f>'TANK HARDWARE'!M268</f>
        <v>#REF!</v>
      </c>
      <c r="D37" s="162"/>
      <c r="E37" s="163"/>
      <c r="F37" s="208" t="e">
        <f>'TANK HARDWARE'!#REF!+P37</f>
        <v>#REF!</v>
      </c>
      <c r="G37" s="167"/>
      <c r="H37" s="167"/>
      <c r="I37" s="167"/>
      <c r="J37" s="167"/>
      <c r="K37" s="167"/>
      <c r="L37" s="168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09" t="e">
        <f>'TANK HARDWARE'!M269</f>
        <v>#REF!</v>
      </c>
      <c r="D38" s="162"/>
      <c r="E38" s="163"/>
      <c r="F38" s="208" t="e">
        <f>'TANK HARDWARE'!#REF!+P38</f>
        <v>#REF!</v>
      </c>
      <c r="G38" s="167"/>
      <c r="H38" s="167"/>
      <c r="I38" s="167"/>
      <c r="J38" s="167"/>
      <c r="K38" s="167"/>
      <c r="L38" s="168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09" t="e">
        <f>'TANK HARDWARE'!M270</f>
        <v>#REF!</v>
      </c>
      <c r="D39" s="162"/>
      <c r="E39" s="163"/>
      <c r="F39" s="208" t="e">
        <f>'TANK HARDWARE'!#REF!+P39</f>
        <v>#REF!</v>
      </c>
      <c r="G39" s="167"/>
      <c r="H39" s="167"/>
      <c r="I39" s="167"/>
      <c r="J39" s="167"/>
      <c r="K39" s="167"/>
      <c r="L39" s="168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09" t="e">
        <f>'TANK HARDWARE'!M271</f>
        <v>#REF!</v>
      </c>
      <c r="D40" s="162"/>
      <c r="E40" s="163"/>
      <c r="F40" s="208" t="e">
        <f>'TANK HARDWARE'!#REF!+P40</f>
        <v>#REF!</v>
      </c>
      <c r="G40" s="167"/>
      <c r="H40" s="167"/>
      <c r="I40" s="167"/>
      <c r="J40" s="167"/>
      <c r="K40" s="167"/>
      <c r="L40" s="168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09" t="e">
        <f>'TANK HARDWARE'!M272</f>
        <v>#REF!</v>
      </c>
      <c r="D41" s="162"/>
      <c r="E41" s="163"/>
      <c r="F41" s="208" t="e">
        <f>'TANK HARDWARE'!#REF!+P41</f>
        <v>#REF!</v>
      </c>
      <c r="G41" s="167"/>
      <c r="H41" s="167"/>
      <c r="I41" s="167"/>
      <c r="J41" s="167"/>
      <c r="K41" s="167"/>
      <c r="L41" s="168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09" t="e">
        <f>'TANK HARDWARE'!M273</f>
        <v>#REF!</v>
      </c>
      <c r="D42" s="162"/>
      <c r="E42" s="163"/>
      <c r="F42" s="208" t="e">
        <f>'TANK HARDWARE'!#REF!+P42</f>
        <v>#REF!</v>
      </c>
      <c r="G42" s="167"/>
      <c r="H42" s="167"/>
      <c r="I42" s="167"/>
      <c r="J42" s="167"/>
      <c r="K42" s="167"/>
      <c r="L42" s="168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09" t="e">
        <f>'TANK HARDWARE'!M274</f>
        <v>#REF!</v>
      </c>
      <c r="D43" s="162"/>
      <c r="E43" s="163"/>
      <c r="F43" s="208" t="e">
        <f>'TANK HARDWARE'!#REF!+P43</f>
        <v>#REF!</v>
      </c>
      <c r="G43" s="167"/>
      <c r="H43" s="167"/>
      <c r="I43" s="167"/>
      <c r="J43" s="167"/>
      <c r="K43" s="167"/>
      <c r="L43" s="168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09" t="e">
        <f>'TANK HARDWARE'!M275</f>
        <v>#REF!</v>
      </c>
      <c r="D44" s="162"/>
      <c r="E44" s="163"/>
      <c r="F44" s="208" t="e">
        <f>'TANK HARDWARE'!#REF!+P44</f>
        <v>#REF!</v>
      </c>
      <c r="G44" s="167"/>
      <c r="H44" s="167"/>
      <c r="I44" s="167"/>
      <c r="J44" s="167"/>
      <c r="K44" s="167"/>
      <c r="L44" s="168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09" t="e">
        <f>'TANK HARDWARE'!M276</f>
        <v>#REF!</v>
      </c>
      <c r="D45" s="162"/>
      <c r="E45" s="163"/>
      <c r="F45" s="208" t="e">
        <f>'TANK HARDWARE'!#REF!+P45</f>
        <v>#REF!</v>
      </c>
      <c r="G45" s="167"/>
      <c r="H45" s="167"/>
      <c r="I45" s="167"/>
      <c r="J45" s="167"/>
      <c r="K45" s="167"/>
      <c r="L45" s="168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09" t="e">
        <f>'TANK HARDWARE'!M277</f>
        <v>#REF!</v>
      </c>
      <c r="D46" s="162"/>
      <c r="E46" s="163"/>
      <c r="F46" s="208" t="e">
        <f>'TANK HARDWARE'!#REF!+P46</f>
        <v>#REF!</v>
      </c>
      <c r="G46" s="167"/>
      <c r="H46" s="167"/>
      <c r="I46" s="167"/>
      <c r="J46" s="167"/>
      <c r="K46" s="167"/>
      <c r="L46" s="168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09" t="e">
        <f>'TANK HARDWARE'!M278</f>
        <v>#REF!</v>
      </c>
      <c r="D47" s="162"/>
      <c r="E47" s="163"/>
      <c r="F47" s="208" t="e">
        <f>'TANK HARDWARE'!#REF!+P47</f>
        <v>#REF!</v>
      </c>
      <c r="G47" s="167"/>
      <c r="H47" s="167"/>
      <c r="I47" s="167"/>
      <c r="J47" s="167"/>
      <c r="K47" s="167"/>
      <c r="L47" s="168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09" t="e">
        <f>'TANK HARDWARE'!M283</f>
        <v>#REF!</v>
      </c>
      <c r="D48" s="162"/>
      <c r="E48" s="163"/>
      <c r="F48" s="208" t="e">
        <f>'TANK HARDWARE'!#REF!+P48</f>
        <v>#REF!</v>
      </c>
      <c r="G48" s="167"/>
      <c r="H48" s="167"/>
      <c r="I48" s="167"/>
      <c r="J48" s="167"/>
      <c r="K48" s="167"/>
      <c r="L48" s="168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09" t="e">
        <f>'TANK HARDWARE'!M284</f>
        <v>#REF!</v>
      </c>
      <c r="D49" s="162"/>
      <c r="E49" s="163"/>
      <c r="F49" s="208" t="e">
        <f>'TANK HARDWARE'!#REF!+P49</f>
        <v>#REF!</v>
      </c>
      <c r="G49" s="167"/>
      <c r="H49" s="167"/>
      <c r="I49" s="167"/>
      <c r="J49" s="167"/>
      <c r="K49" s="167"/>
      <c r="L49" s="168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09" t="e">
        <f>'TANK HARDWARE'!M285</f>
        <v>#REF!</v>
      </c>
      <c r="D50" s="162"/>
      <c r="E50" s="163"/>
      <c r="F50" s="208" t="e">
        <f>'TANK HARDWARE'!#REF!+P50</f>
        <v>#REF!</v>
      </c>
      <c r="G50" s="167"/>
      <c r="H50" s="167"/>
      <c r="I50" s="167"/>
      <c r="J50" s="167"/>
      <c r="K50" s="167"/>
      <c r="L50" s="168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09" t="e">
        <f>'TANK HARDWARE'!M286</f>
        <v>#REF!</v>
      </c>
      <c r="D51" s="162"/>
      <c r="E51" s="163"/>
      <c r="F51" s="208" t="e">
        <f>'TANK HARDWARE'!#REF!+P51</f>
        <v>#REF!</v>
      </c>
      <c r="G51" s="167"/>
      <c r="H51" s="167"/>
      <c r="I51" s="167"/>
      <c r="J51" s="167"/>
      <c r="K51" s="167"/>
      <c r="L51" s="168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776</v>
      </c>
    </row>
    <row r="52" spans="2:18" s="45" customFormat="1" ht="12.95" customHeight="1" x14ac:dyDescent="0.25">
      <c r="B52" s="45" t="e">
        <f t="shared" si="0"/>
        <v>#REF!</v>
      </c>
      <c r="C52" s="209" t="e">
        <f>'TANK HARDWARE'!M287</f>
        <v>#REF!</v>
      </c>
      <c r="D52" s="162"/>
      <c r="E52" s="163"/>
      <c r="F52" s="208" t="e">
        <f>'TANK HARDWARE'!#REF!+P52</f>
        <v>#REF!</v>
      </c>
      <c r="G52" s="167"/>
      <c r="H52" s="167"/>
      <c r="I52" s="167"/>
      <c r="J52" s="167"/>
      <c r="K52" s="167"/>
      <c r="L52" s="168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09" t="e">
        <f>'TANK HARDWARE'!M288</f>
        <v>#REF!</v>
      </c>
      <c r="D53" s="162"/>
      <c r="E53" s="163"/>
      <c r="F53" s="208" t="e">
        <f>'TANK HARDWARE'!#REF!+P53</f>
        <v>#REF!</v>
      </c>
      <c r="G53" s="167"/>
      <c r="H53" s="167"/>
      <c r="I53" s="167"/>
      <c r="J53" s="167"/>
      <c r="K53" s="167"/>
      <c r="L53" s="168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09" t="e">
        <f>'TANK HARDWARE'!M289</f>
        <v>#REF!</v>
      </c>
      <c r="D54" s="162"/>
      <c r="E54" s="163"/>
      <c r="F54" s="208" t="e">
        <f>'TANK HARDWARE'!#REF!+P54</f>
        <v>#REF!</v>
      </c>
      <c r="G54" s="167"/>
      <c r="H54" s="167"/>
      <c r="I54" s="167"/>
      <c r="J54" s="167"/>
      <c r="K54" s="167"/>
      <c r="L54" s="168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09" t="e">
        <f>'TANK HARDWARE'!M290</f>
        <v>#REF!</v>
      </c>
      <c r="D55" s="162"/>
      <c r="E55" s="163"/>
      <c r="F55" s="208" t="e">
        <f>'TANK HARDWARE'!#REF!+P55</f>
        <v>#REF!</v>
      </c>
      <c r="G55" s="167"/>
      <c r="H55" s="167"/>
      <c r="I55" s="167"/>
      <c r="J55" s="167"/>
      <c r="K55" s="167"/>
      <c r="L55" s="168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09" t="e">
        <f>'TANK HARDWARE'!M291</f>
        <v>#REF!</v>
      </c>
      <c r="D56" s="162"/>
      <c r="E56" s="163"/>
      <c r="F56" s="208" t="e">
        <f>'TANK HARDWARE'!#REF!+P56</f>
        <v>#REF!</v>
      </c>
      <c r="G56" s="167"/>
      <c r="H56" s="167"/>
      <c r="I56" s="167"/>
      <c r="J56" s="167"/>
      <c r="K56" s="167"/>
      <c r="L56" s="168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09" t="e">
        <f>'TANK HARDWARE'!M292</f>
        <v>#REF!</v>
      </c>
      <c r="D57" s="162"/>
      <c r="E57" s="163"/>
      <c r="F57" s="208" t="e">
        <f>'TANK HARDWARE'!#REF!+P57</f>
        <v>#REF!</v>
      </c>
      <c r="G57" s="167"/>
      <c r="H57" s="167"/>
      <c r="I57" s="167"/>
      <c r="J57" s="167"/>
      <c r="K57" s="167"/>
      <c r="L57" s="168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09" t="e">
        <f>'TANK HARDWARE'!M293</f>
        <v>#REF!</v>
      </c>
      <c r="D58" s="162"/>
      <c r="E58" s="163"/>
      <c r="F58" s="208" t="e">
        <f>'TANK HARDWARE'!#REF!+P58</f>
        <v>#REF!</v>
      </c>
      <c r="G58" s="167"/>
      <c r="H58" s="167"/>
      <c r="I58" s="167"/>
      <c r="J58" s="167"/>
      <c r="K58" s="167"/>
      <c r="L58" s="168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09" t="e">
        <f>'TANK HARDWARE'!M294</f>
        <v>#REF!</v>
      </c>
      <c r="D59" s="162"/>
      <c r="E59" s="163"/>
      <c r="F59" s="208" t="e">
        <f>'TANK HARDWARE'!#REF!+P59</f>
        <v>#REF!</v>
      </c>
      <c r="G59" s="167"/>
      <c r="H59" s="167"/>
      <c r="I59" s="167"/>
      <c r="J59" s="167"/>
      <c r="K59" s="167"/>
      <c r="L59" s="168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09" t="e">
        <f>'TANK HARDWARE'!M295</f>
        <v>#REF!</v>
      </c>
      <c r="D60" s="162"/>
      <c r="E60" s="163"/>
      <c r="F60" s="208" t="e">
        <f>'TANK HARDWARE'!#REF!+P60</f>
        <v>#REF!</v>
      </c>
      <c r="G60" s="167"/>
      <c r="H60" s="167"/>
      <c r="I60" s="167"/>
      <c r="J60" s="167"/>
      <c r="K60" s="167"/>
      <c r="L60" s="168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09" t="e">
        <f>'TANK HARDWARE'!M296</f>
        <v>#REF!</v>
      </c>
      <c r="D61" s="162"/>
      <c r="E61" s="163"/>
      <c r="F61" s="208" t="e">
        <f>'TANK HARDWARE'!#REF!+P61</f>
        <v>#REF!</v>
      </c>
      <c r="G61" s="167"/>
      <c r="H61" s="167"/>
      <c r="I61" s="167"/>
      <c r="J61" s="167"/>
      <c r="K61" s="167"/>
      <c r="L61" s="168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09" t="e">
        <f>'TANK HARDWARE'!M297</f>
        <v>#REF!</v>
      </c>
      <c r="D62" s="162"/>
      <c r="E62" s="163"/>
      <c r="F62" s="208" t="e">
        <f>'TANK HARDWARE'!#REF!+P62</f>
        <v>#REF!</v>
      </c>
      <c r="G62" s="167"/>
      <c r="H62" s="167"/>
      <c r="I62" s="167"/>
      <c r="J62" s="167"/>
      <c r="K62" s="167"/>
      <c r="L62" s="168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09" t="e">
        <f>'TANK HARDWARE'!M301</f>
        <v>#REF!</v>
      </c>
      <c r="D63" s="162"/>
      <c r="E63" s="163"/>
      <c r="F63" s="208" t="e">
        <f>'TANK HARDWARE'!#REF!+P63</f>
        <v>#REF!</v>
      </c>
      <c r="G63" s="167"/>
      <c r="H63" s="167"/>
      <c r="I63" s="167"/>
      <c r="J63" s="167"/>
      <c r="K63" s="167"/>
      <c r="L63" s="168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09" t="e">
        <f>'TANK HARDWARE'!M302</f>
        <v>#REF!</v>
      </c>
      <c r="D64" s="162"/>
      <c r="E64" s="163"/>
      <c r="F64" s="208" t="e">
        <f>'TANK HARDWARE'!#REF!+P64</f>
        <v>#REF!</v>
      </c>
      <c r="G64" s="167"/>
      <c r="H64" s="167"/>
      <c r="I64" s="167"/>
      <c r="J64" s="167"/>
      <c r="K64" s="167"/>
      <c r="L64" s="168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09" t="e">
        <f>'TANK HARDWARE'!M303</f>
        <v>#REF!</v>
      </c>
      <c r="D65" s="162"/>
      <c r="E65" s="163"/>
      <c r="F65" s="208" t="e">
        <f>'TANK HARDWARE'!#REF!+P65</f>
        <v>#REF!</v>
      </c>
      <c r="G65" s="167"/>
      <c r="H65" s="167"/>
      <c r="I65" s="167"/>
      <c r="J65" s="167"/>
      <c r="K65" s="167"/>
      <c r="L65" s="168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09" t="e">
        <f>'TANK HARDWARE'!M304</f>
        <v>#REF!</v>
      </c>
      <c r="D66" s="162"/>
      <c r="E66" s="163"/>
      <c r="F66" s="208" t="e">
        <f>'TANK HARDWARE'!#REF!+P66</f>
        <v>#REF!</v>
      </c>
      <c r="G66" s="167"/>
      <c r="H66" s="167"/>
      <c r="I66" s="167"/>
      <c r="J66" s="167"/>
      <c r="K66" s="167"/>
      <c r="L66" s="168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09" t="e">
        <f>'TANK HARDWARE'!M305</f>
        <v>#REF!</v>
      </c>
      <c r="D67" s="162"/>
      <c r="E67" s="163"/>
      <c r="F67" s="208" t="e">
        <f>'TANK HARDWARE'!#REF!+P67</f>
        <v>#REF!</v>
      </c>
      <c r="G67" s="167"/>
      <c r="H67" s="167"/>
      <c r="I67" s="167"/>
      <c r="J67" s="167"/>
      <c r="K67" s="167"/>
      <c r="L67" s="168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09" t="e">
        <f>'TANK HARDWARE'!M306</f>
        <v>#REF!</v>
      </c>
      <c r="D68" s="162"/>
      <c r="E68" s="163"/>
      <c r="F68" s="208" t="e">
        <f>'TANK HARDWARE'!#REF!+P68</f>
        <v>#REF!</v>
      </c>
      <c r="G68" s="167"/>
      <c r="H68" s="167"/>
      <c r="I68" s="167"/>
      <c r="J68" s="167"/>
      <c r="K68" s="167"/>
      <c r="L68" s="168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09" t="e">
        <f>'TANK HARDWARE'!M307</f>
        <v>#REF!</v>
      </c>
      <c r="D69" s="162"/>
      <c r="E69" s="163"/>
      <c r="F69" s="208" t="e">
        <f>'TANK HARDWARE'!#REF!+P69</f>
        <v>#REF!</v>
      </c>
      <c r="G69" s="167"/>
      <c r="H69" s="167"/>
      <c r="I69" s="167"/>
      <c r="J69" s="167"/>
      <c r="K69" s="167"/>
      <c r="L69" s="168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09" t="e">
        <f>'TANK HARDWARE'!M308</f>
        <v>#REF!</v>
      </c>
      <c r="D70" s="162"/>
      <c r="E70" s="163"/>
      <c r="F70" s="208" t="e">
        <f>'TANK HARDWARE'!#REF!+P70</f>
        <v>#REF!</v>
      </c>
      <c r="G70" s="167"/>
      <c r="H70" s="167"/>
      <c r="I70" s="167"/>
      <c r="J70" s="167"/>
      <c r="K70" s="167"/>
      <c r="L70" s="168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09" t="e">
        <f>'TANK HARDWARE'!M309</f>
        <v>#REF!</v>
      </c>
      <c r="D71" s="162"/>
      <c r="E71" s="163"/>
      <c r="F71" s="208" t="e">
        <f>'TANK HARDWARE'!#REF!+P71</f>
        <v>#REF!</v>
      </c>
      <c r="G71" s="167"/>
      <c r="H71" s="167"/>
      <c r="I71" s="167"/>
      <c r="J71" s="167"/>
      <c r="K71" s="167"/>
      <c r="L71" s="168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09" t="e">
        <f>'TANK HARDWARE'!M310</f>
        <v>#REF!</v>
      </c>
      <c r="D72" s="162"/>
      <c r="E72" s="163"/>
      <c r="F72" s="208" t="e">
        <f>'TANK HARDWARE'!#REF!+P72</f>
        <v>#REF!</v>
      </c>
      <c r="G72" s="167"/>
      <c r="H72" s="167"/>
      <c r="I72" s="167"/>
      <c r="J72" s="167"/>
      <c r="K72" s="167"/>
      <c r="L72" s="168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09" t="e">
        <f>'TANK HARDWARE'!M311</f>
        <v>#REF!</v>
      </c>
      <c r="D73" s="162"/>
      <c r="E73" s="163"/>
      <c r="F73" s="208" t="e">
        <f>'TANK HARDWARE'!#REF!+P73</f>
        <v>#REF!</v>
      </c>
      <c r="G73" s="167"/>
      <c r="H73" s="167"/>
      <c r="I73" s="167"/>
      <c r="J73" s="167"/>
      <c r="K73" s="167"/>
      <c r="L73" s="168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09" t="e">
        <f>'TANK HARDWARE'!M312</f>
        <v>#REF!</v>
      </c>
      <c r="D74" s="162"/>
      <c r="E74" s="163"/>
      <c r="F74" s="208" t="e">
        <f>'TANK HARDWARE'!#REF!+P74</f>
        <v>#REF!</v>
      </c>
      <c r="G74" s="167"/>
      <c r="H74" s="167"/>
      <c r="I74" s="167"/>
      <c r="J74" s="167"/>
      <c r="K74" s="167"/>
      <c r="L74" s="168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09" t="e">
        <f>'TANK HARDWARE'!M313</f>
        <v>#REF!</v>
      </c>
      <c r="D75" s="162"/>
      <c r="E75" s="163"/>
      <c r="F75" s="208" t="e">
        <f>'TANK HARDWARE'!#REF!+P75</f>
        <v>#REF!</v>
      </c>
      <c r="G75" s="167"/>
      <c r="H75" s="167"/>
      <c r="I75" s="167"/>
      <c r="J75" s="167"/>
      <c r="K75" s="167"/>
      <c r="L75" s="168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09" t="e">
        <f>'TANK HARDWARE'!M314</f>
        <v>#REF!</v>
      </c>
      <c r="D76" s="162"/>
      <c r="E76" s="163"/>
      <c r="F76" s="208" t="e">
        <f>'TANK HARDWARE'!#REF!+P76</f>
        <v>#REF!</v>
      </c>
      <c r="G76" s="167"/>
      <c r="H76" s="167"/>
      <c r="I76" s="167"/>
      <c r="J76" s="167"/>
      <c r="K76" s="167"/>
      <c r="L76" s="168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09" t="e">
        <f>'TANK HARDWARE'!M315</f>
        <v>#REF!</v>
      </c>
      <c r="D77" s="162"/>
      <c r="E77" s="163"/>
      <c r="F77" s="208" t="e">
        <f>'TANK HARDWARE'!#REF!+P77</f>
        <v>#REF!</v>
      </c>
      <c r="G77" s="167"/>
      <c r="H77" s="167"/>
      <c r="I77" s="167"/>
      <c r="J77" s="167"/>
      <c r="K77" s="167"/>
      <c r="L77" s="168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09" t="e">
        <f>'TANK HARDWARE'!M322</f>
        <v>#REF!</v>
      </c>
      <c r="D78" s="162"/>
      <c r="E78" s="163"/>
      <c r="F78" s="208" t="e">
        <f>'TANK HARDWARE'!#REF!+P78</f>
        <v>#REF!</v>
      </c>
      <c r="G78" s="167"/>
      <c r="H78" s="167"/>
      <c r="I78" s="167"/>
      <c r="J78" s="167"/>
      <c r="K78" s="167"/>
      <c r="L78" s="168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09" t="e">
        <f>'TANK HARDWARE'!M323</f>
        <v>#REF!</v>
      </c>
      <c r="D79" s="162"/>
      <c r="E79" s="163"/>
      <c r="F79" s="208" t="e">
        <f>'TANK HARDWARE'!#REF!+P79</f>
        <v>#REF!</v>
      </c>
      <c r="G79" s="167"/>
      <c r="H79" s="167"/>
      <c r="I79" s="167"/>
      <c r="J79" s="167"/>
      <c r="K79" s="167"/>
      <c r="L79" s="168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09" t="e">
        <f>'TANK HARDWARE'!M324</f>
        <v>#REF!</v>
      </c>
      <c r="D80" s="162"/>
      <c r="E80" s="163"/>
      <c r="F80" s="208" t="e">
        <f>'TANK HARDWARE'!#REF!+P80</f>
        <v>#REF!</v>
      </c>
      <c r="G80" s="167"/>
      <c r="H80" s="167"/>
      <c r="I80" s="167"/>
      <c r="J80" s="167"/>
      <c r="K80" s="167"/>
      <c r="L80" s="168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09" t="e">
        <f>'TANK HARDWARE'!M325</f>
        <v>#REF!</v>
      </c>
      <c r="D81" s="162"/>
      <c r="E81" s="163"/>
      <c r="F81" s="208" t="e">
        <f>'TANK HARDWARE'!#REF!+P81</f>
        <v>#REF!</v>
      </c>
      <c r="G81" s="167"/>
      <c r="H81" s="167"/>
      <c r="I81" s="167"/>
      <c r="J81" s="167"/>
      <c r="K81" s="167"/>
      <c r="L81" s="168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09" t="e">
        <f>'TANK HARDWARE'!M326</f>
        <v>#REF!</v>
      </c>
      <c r="D82" s="162"/>
      <c r="E82" s="163"/>
      <c r="F82" s="208" t="e">
        <f>'TANK HARDWARE'!#REF!+P82</f>
        <v>#REF!</v>
      </c>
      <c r="G82" s="167"/>
      <c r="H82" s="167"/>
      <c r="I82" s="167"/>
      <c r="J82" s="167"/>
      <c r="K82" s="167"/>
      <c r="L82" s="168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09" t="e">
        <f>'TANK HARDWARE'!M327</f>
        <v>#REF!</v>
      </c>
      <c r="D83" s="162"/>
      <c r="E83" s="163"/>
      <c r="F83" s="208" t="e">
        <f>'TANK HARDWARE'!#REF!+P83</f>
        <v>#REF!</v>
      </c>
      <c r="G83" s="167"/>
      <c r="H83" s="167"/>
      <c r="I83" s="167"/>
      <c r="J83" s="167"/>
      <c r="K83" s="167"/>
      <c r="L83" s="168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09" t="e">
        <f>'TANK HARDWARE'!M328</f>
        <v>#REF!</v>
      </c>
      <c r="D84" s="162"/>
      <c r="E84" s="163"/>
      <c r="F84" s="208" t="e">
        <f>'TANK HARDWARE'!#REF!+P84</f>
        <v>#REF!</v>
      </c>
      <c r="G84" s="167"/>
      <c r="H84" s="167"/>
      <c r="I84" s="167"/>
      <c r="J84" s="167"/>
      <c r="K84" s="167"/>
      <c r="L84" s="168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09" t="e">
        <f>'TANK HARDWARE'!M329</f>
        <v>#REF!</v>
      </c>
      <c r="D85" s="162"/>
      <c r="E85" s="163"/>
      <c r="F85" s="208" t="e">
        <f>'TANK HARDWARE'!#REF!+P85</f>
        <v>#REF!</v>
      </c>
      <c r="G85" s="167"/>
      <c r="H85" s="167"/>
      <c r="I85" s="167"/>
      <c r="J85" s="167"/>
      <c r="K85" s="167"/>
      <c r="L85" s="168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09" t="e">
        <f>'TANK HARDWARE'!M330</f>
        <v>#REF!</v>
      </c>
      <c r="D86" s="162"/>
      <c r="E86" s="163"/>
      <c r="F86" s="208" t="e">
        <f>'TANK HARDWARE'!#REF!+P86</f>
        <v>#REF!</v>
      </c>
      <c r="G86" s="167"/>
      <c r="H86" s="167"/>
      <c r="I86" s="167"/>
      <c r="J86" s="167"/>
      <c r="K86" s="167"/>
      <c r="L86" s="168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09" t="e">
        <f>'TANK HARDWARE'!M331</f>
        <v>#REF!</v>
      </c>
      <c r="D87" s="162"/>
      <c r="E87" s="163"/>
      <c r="F87" s="208" t="e">
        <f>'TANK HARDWARE'!#REF!+P87</f>
        <v>#REF!</v>
      </c>
      <c r="G87" s="167"/>
      <c r="H87" s="167"/>
      <c r="I87" s="167"/>
      <c r="J87" s="167"/>
      <c r="K87" s="167"/>
      <c r="L87" s="168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09" t="e">
        <f>'TANK HARDWARE'!M332</f>
        <v>#REF!</v>
      </c>
      <c r="D88" s="162"/>
      <c r="E88" s="163"/>
      <c r="F88" s="208" t="e">
        <f>'TANK HARDWARE'!#REF!+P88</f>
        <v>#REF!</v>
      </c>
      <c r="G88" s="167"/>
      <c r="H88" s="167"/>
      <c r="I88" s="167"/>
      <c r="J88" s="167"/>
      <c r="K88" s="167"/>
      <c r="L88" s="168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09" t="e">
        <f>'TANK HARDWARE'!M333</f>
        <v>#REF!</v>
      </c>
      <c r="D89" s="162"/>
      <c r="E89" s="163"/>
      <c r="F89" s="208" t="e">
        <f>'TANK HARDWARE'!#REF!+P89</f>
        <v>#REF!</v>
      </c>
      <c r="G89" s="167"/>
      <c r="H89" s="167"/>
      <c r="I89" s="167"/>
      <c r="J89" s="167"/>
      <c r="K89" s="167"/>
      <c r="L89" s="168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09" t="e">
        <f>'TANK HARDWARE'!M334</f>
        <v>#REF!</v>
      </c>
      <c r="D90" s="162"/>
      <c r="E90" s="163"/>
      <c r="F90" s="208" t="e">
        <f>'TANK HARDWARE'!#REF!+P90</f>
        <v>#REF!</v>
      </c>
      <c r="G90" s="167"/>
      <c r="H90" s="167"/>
      <c r="I90" s="167"/>
      <c r="J90" s="167"/>
      <c r="K90" s="167"/>
      <c r="L90" s="168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09" t="e">
        <f>'TANK HARDWARE'!M335</f>
        <v>#REF!</v>
      </c>
      <c r="D91" s="162"/>
      <c r="E91" s="163"/>
      <c r="F91" s="208" t="e">
        <f>'TANK HARDWARE'!#REF!+P91</f>
        <v>#REF!</v>
      </c>
      <c r="G91" s="167"/>
      <c r="H91" s="167"/>
      <c r="I91" s="167"/>
      <c r="J91" s="167"/>
      <c r="K91" s="167"/>
      <c r="L91" s="168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09" t="e">
        <f>'TANK HARDWARE'!M336</f>
        <v>#REF!</v>
      </c>
      <c r="D92" s="162"/>
      <c r="E92" s="163"/>
      <c r="F92" s="208" t="e">
        <f>'TANK HARDWARE'!#REF!+P92</f>
        <v>#REF!</v>
      </c>
      <c r="G92" s="167"/>
      <c r="H92" s="167"/>
      <c r="I92" s="167"/>
      <c r="J92" s="167"/>
      <c r="K92" s="167"/>
      <c r="L92" s="168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09" t="e">
        <f>'TANK HARDWARE'!M337</f>
        <v>#REF!</v>
      </c>
      <c r="D93" s="162"/>
      <c r="E93" s="163"/>
      <c r="F93" s="208" t="e">
        <f>'TANK HARDWARE'!#REF!+P93</f>
        <v>#REF!</v>
      </c>
      <c r="G93" s="167"/>
      <c r="H93" s="167"/>
      <c r="I93" s="167"/>
      <c r="J93" s="167"/>
      <c r="K93" s="167"/>
      <c r="L93" s="168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09" t="e">
        <f>'TANK HARDWARE'!M338</f>
        <v>#REF!</v>
      </c>
      <c r="D94" s="162"/>
      <c r="E94" s="163"/>
      <c r="F94" s="208" t="e">
        <f>'TANK HARDWARE'!#REF!+P94</f>
        <v>#REF!</v>
      </c>
      <c r="G94" s="167"/>
      <c r="H94" s="167"/>
      <c r="I94" s="167"/>
      <c r="J94" s="167"/>
      <c r="K94" s="167"/>
      <c r="L94" s="168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09" t="e">
        <f>'TANK HARDWARE'!M339</f>
        <v>#REF!</v>
      </c>
      <c r="D95" s="162"/>
      <c r="E95" s="163"/>
      <c r="F95" s="208" t="e">
        <f>'TANK HARDWARE'!#REF!+P95</f>
        <v>#REF!</v>
      </c>
      <c r="G95" s="167"/>
      <c r="H95" s="167"/>
      <c r="I95" s="167"/>
      <c r="J95" s="167"/>
      <c r="K95" s="167"/>
      <c r="L95" s="168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09" t="e">
        <f>'TANK HARDWARE'!M348</f>
        <v>#REF!</v>
      </c>
      <c r="D96" s="162"/>
      <c r="E96" s="163"/>
      <c r="F96" s="208" t="e">
        <f>'TANK HARDWARE'!#REF!+P96</f>
        <v>#REF!</v>
      </c>
      <c r="G96" s="167"/>
      <c r="H96" s="167"/>
      <c r="I96" s="167"/>
      <c r="J96" s="167"/>
      <c r="K96" s="167"/>
      <c r="L96" s="168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09" t="e">
        <f>'TANK HARDWARE'!M349</f>
        <v>#REF!</v>
      </c>
      <c r="D97" s="162"/>
      <c r="E97" s="163"/>
      <c r="F97" s="208" t="e">
        <f>'TANK HARDWARE'!#REF!+P97</f>
        <v>#REF!</v>
      </c>
      <c r="G97" s="167"/>
      <c r="H97" s="167"/>
      <c r="I97" s="167"/>
      <c r="J97" s="167"/>
      <c r="K97" s="167"/>
      <c r="L97" s="168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09" t="e">
        <f>'TANK HARDWARE'!M350</f>
        <v>#REF!</v>
      </c>
      <c r="D98" s="162"/>
      <c r="E98" s="163"/>
      <c r="F98" s="208" t="e">
        <f>'TANK HARDWARE'!#REF!+P98</f>
        <v>#REF!</v>
      </c>
      <c r="G98" s="167"/>
      <c r="H98" s="167"/>
      <c r="I98" s="167"/>
      <c r="J98" s="167"/>
      <c r="K98" s="167"/>
      <c r="L98" s="168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09" t="e">
        <f>'TANK HARDWARE'!M351</f>
        <v>#REF!</v>
      </c>
      <c r="D99" s="162"/>
      <c r="E99" s="163"/>
      <c r="F99" s="208" t="e">
        <f>'TANK HARDWARE'!#REF!+P99</f>
        <v>#REF!</v>
      </c>
      <c r="G99" s="167"/>
      <c r="H99" s="167"/>
      <c r="I99" s="167"/>
      <c r="J99" s="167"/>
      <c r="K99" s="167"/>
      <c r="L99" s="168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09" t="e">
        <f>'TANK HARDWARE'!M352</f>
        <v>#REF!</v>
      </c>
      <c r="D100" s="162"/>
      <c r="E100" s="163"/>
      <c r="F100" s="208" t="e">
        <f>'TANK HARDWARE'!#REF!+P100</f>
        <v>#REF!</v>
      </c>
      <c r="G100" s="167"/>
      <c r="H100" s="167"/>
      <c r="I100" s="167"/>
      <c r="J100" s="167"/>
      <c r="K100" s="167"/>
      <c r="L100" s="168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09" t="e">
        <f>'TANK HARDWARE'!M353</f>
        <v>#REF!</v>
      </c>
      <c r="D101" s="162"/>
      <c r="E101" s="163"/>
      <c r="F101" s="208" t="e">
        <f>'TANK HARDWARE'!#REF!+P101</f>
        <v>#REF!</v>
      </c>
      <c r="G101" s="167"/>
      <c r="H101" s="167"/>
      <c r="I101" s="167"/>
      <c r="J101" s="167"/>
      <c r="K101" s="167"/>
      <c r="L101" s="168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09" t="e">
        <f>'TANK HARDWARE'!M354</f>
        <v>#REF!</v>
      </c>
      <c r="D102" s="162"/>
      <c r="E102" s="163"/>
      <c r="F102" s="208" t="e">
        <f>'TANK HARDWARE'!#REF!+P102</f>
        <v>#REF!</v>
      </c>
      <c r="G102" s="167"/>
      <c r="H102" s="167"/>
      <c r="I102" s="167"/>
      <c r="J102" s="167"/>
      <c r="K102" s="167"/>
      <c r="L102" s="168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09" t="e">
        <f>'TANK HARDWARE'!M355</f>
        <v>#REF!</v>
      </c>
      <c r="D103" s="162"/>
      <c r="E103" s="163"/>
      <c r="F103" s="208" t="e">
        <f>'TANK HARDWARE'!#REF!+P103</f>
        <v>#REF!</v>
      </c>
      <c r="G103" s="167"/>
      <c r="H103" s="167"/>
      <c r="I103" s="167"/>
      <c r="J103" s="167"/>
      <c r="K103" s="167"/>
      <c r="L103" s="168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09" t="e">
        <f>'TANK HARDWARE'!M356</f>
        <v>#REF!</v>
      </c>
      <c r="D104" s="162"/>
      <c r="E104" s="163"/>
      <c r="F104" s="208" t="e">
        <f>'TANK HARDWARE'!#REF!+P104</f>
        <v>#REF!</v>
      </c>
      <c r="G104" s="167"/>
      <c r="H104" s="167"/>
      <c r="I104" s="167"/>
      <c r="J104" s="167"/>
      <c r="K104" s="167"/>
      <c r="L104" s="168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09" t="e">
        <f>'TANK HARDWARE'!M357</f>
        <v>#REF!</v>
      </c>
      <c r="D105" s="162"/>
      <c r="E105" s="163"/>
      <c r="F105" s="208" t="e">
        <f>'TANK HARDWARE'!#REF!+P105</f>
        <v>#REF!</v>
      </c>
      <c r="G105" s="167"/>
      <c r="H105" s="167"/>
      <c r="I105" s="167"/>
      <c r="J105" s="167"/>
      <c r="K105" s="167"/>
      <c r="L105" s="168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09" t="e">
        <f>'TANK HARDWARE'!M358</f>
        <v>#REF!</v>
      </c>
      <c r="D106" s="162"/>
      <c r="E106" s="163"/>
      <c r="F106" s="208" t="e">
        <f>'TANK HARDWARE'!#REF!+P106</f>
        <v>#REF!</v>
      </c>
      <c r="G106" s="167"/>
      <c r="H106" s="167"/>
      <c r="I106" s="167"/>
      <c r="J106" s="167"/>
      <c r="K106" s="167"/>
      <c r="L106" s="168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09" t="e">
        <f>'TANK HARDWARE'!M359</f>
        <v>#REF!</v>
      </c>
      <c r="D107" s="162"/>
      <c r="E107" s="163"/>
      <c r="F107" s="208" t="e">
        <f>'TANK HARDWARE'!#REF!+P107</f>
        <v>#REF!</v>
      </c>
      <c r="G107" s="167"/>
      <c r="H107" s="167"/>
      <c r="I107" s="167"/>
      <c r="J107" s="167"/>
      <c r="K107" s="167"/>
      <c r="L107" s="168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09" t="e">
        <f>'TANK HARDWARE'!M360</f>
        <v>#REF!</v>
      </c>
      <c r="D108" s="162"/>
      <c r="E108" s="163"/>
      <c r="F108" s="208" t="e">
        <f>'TANK HARDWARE'!#REF!+P108</f>
        <v>#REF!</v>
      </c>
      <c r="G108" s="167"/>
      <c r="H108" s="167"/>
      <c r="I108" s="167"/>
      <c r="J108" s="167"/>
      <c r="K108" s="167"/>
      <c r="L108" s="168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09" t="e">
        <f>'TANK HARDWARE'!M361</f>
        <v>#REF!</v>
      </c>
      <c r="D109" s="162"/>
      <c r="E109" s="163"/>
      <c r="F109" s="208" t="e">
        <f>'TANK HARDWARE'!#REF!+P109</f>
        <v>#REF!</v>
      </c>
      <c r="G109" s="167"/>
      <c r="H109" s="167"/>
      <c r="I109" s="167"/>
      <c r="J109" s="167"/>
      <c r="K109" s="167"/>
      <c r="L109" s="168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09" t="e">
        <f>'TANK HARDWARE'!M362</f>
        <v>#REF!</v>
      </c>
      <c r="D110" s="162"/>
      <c r="E110" s="163"/>
      <c r="F110" s="208" t="e">
        <f>'TANK HARDWARE'!#REF!+P110</f>
        <v>#REF!</v>
      </c>
      <c r="G110" s="167"/>
      <c r="H110" s="167"/>
      <c r="I110" s="167"/>
      <c r="J110" s="167"/>
      <c r="K110" s="167"/>
      <c r="L110" s="168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09" t="e">
        <f>'TANK HARDWARE'!M363</f>
        <v>#REF!</v>
      </c>
      <c r="D111" s="162"/>
      <c r="E111" s="163"/>
      <c r="F111" s="208" t="e">
        <f>'TANK HARDWARE'!#REF!+P111</f>
        <v>#REF!</v>
      </c>
      <c r="G111" s="167"/>
      <c r="H111" s="167"/>
      <c r="I111" s="167"/>
      <c r="J111" s="167"/>
      <c r="K111" s="167"/>
      <c r="L111" s="168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09" t="e">
        <f>'TANK HARDWARE'!M364</f>
        <v>#REF!</v>
      </c>
      <c r="D112" s="162"/>
      <c r="E112" s="163"/>
      <c r="F112" s="208" t="e">
        <f>'TANK HARDWARE'!#REF!+P112</f>
        <v>#REF!</v>
      </c>
      <c r="G112" s="167"/>
      <c r="H112" s="167"/>
      <c r="I112" s="167"/>
      <c r="J112" s="167"/>
      <c r="K112" s="167"/>
      <c r="L112" s="168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09" t="e">
        <f>'TANK HARDWARE'!M365</f>
        <v>#REF!</v>
      </c>
      <c r="D113" s="162"/>
      <c r="E113" s="163"/>
      <c r="F113" s="208" t="e">
        <f>'TANK HARDWARE'!#REF!+P113</f>
        <v>#REF!</v>
      </c>
      <c r="G113" s="167"/>
      <c r="H113" s="167"/>
      <c r="I113" s="167"/>
      <c r="J113" s="167"/>
      <c r="K113" s="167"/>
      <c r="L113" s="168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09" t="e">
        <f>'TANK HARDWARE'!M377</f>
        <v>#REF!</v>
      </c>
      <c r="D114" s="162"/>
      <c r="E114" s="163"/>
      <c r="F114" s="208" t="e">
        <f>'TANK HARDWARE'!#REF!+P114</f>
        <v>#REF!</v>
      </c>
      <c r="G114" s="167"/>
      <c r="H114" s="167"/>
      <c r="I114" s="167"/>
      <c r="J114" s="167"/>
      <c r="K114" s="167"/>
      <c r="L114" s="168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09" t="e">
        <f>'TANK HARDWARE'!M378</f>
        <v>#REF!</v>
      </c>
      <c r="D115" s="162"/>
      <c r="E115" s="163"/>
      <c r="F115" s="208" t="e">
        <f>'TANK HARDWARE'!#REF!+P115</f>
        <v>#REF!</v>
      </c>
      <c r="G115" s="167"/>
      <c r="H115" s="167"/>
      <c r="I115" s="167"/>
      <c r="J115" s="167"/>
      <c r="K115" s="167"/>
      <c r="L115" s="168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09" t="e">
        <f>'TANK HARDWARE'!M379</f>
        <v>#REF!</v>
      </c>
      <c r="D116" s="162"/>
      <c r="E116" s="163"/>
      <c r="F116" s="208" t="e">
        <f>'TANK HARDWARE'!#REF!+P116</f>
        <v>#REF!</v>
      </c>
      <c r="G116" s="167"/>
      <c r="H116" s="167"/>
      <c r="I116" s="167"/>
      <c r="J116" s="167"/>
      <c r="K116" s="167"/>
      <c r="L116" s="168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09" t="e">
        <f>'TANK HARDWARE'!M380</f>
        <v>#REF!</v>
      </c>
      <c r="D117" s="162"/>
      <c r="E117" s="163"/>
      <c r="F117" s="208" t="e">
        <f>'TANK HARDWARE'!#REF!+P117</f>
        <v>#REF!</v>
      </c>
      <c r="G117" s="167"/>
      <c r="H117" s="167"/>
      <c r="I117" s="167"/>
      <c r="J117" s="167"/>
      <c r="K117" s="167"/>
      <c r="L117" s="168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09" t="e">
        <f>'TANK HARDWARE'!M381</f>
        <v>#REF!</v>
      </c>
      <c r="D118" s="162"/>
      <c r="E118" s="163"/>
      <c r="F118" s="208" t="e">
        <f>'TANK HARDWARE'!#REF!+P118</f>
        <v>#REF!</v>
      </c>
      <c r="G118" s="167"/>
      <c r="H118" s="167"/>
      <c r="I118" s="167"/>
      <c r="J118" s="167"/>
      <c r="K118" s="167"/>
      <c r="L118" s="168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09" t="e">
        <f>'TANK HARDWARE'!M382</f>
        <v>#REF!</v>
      </c>
      <c r="D119" s="162"/>
      <c r="E119" s="163"/>
      <c r="F119" s="208" t="e">
        <f>'TANK HARDWARE'!#REF!+P119</f>
        <v>#REF!</v>
      </c>
      <c r="G119" s="167"/>
      <c r="H119" s="167"/>
      <c r="I119" s="167"/>
      <c r="J119" s="167"/>
      <c r="K119" s="167"/>
      <c r="L119" s="168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09" t="e">
        <f>'TANK HARDWARE'!M383</f>
        <v>#REF!</v>
      </c>
      <c r="D120" s="162"/>
      <c r="E120" s="163"/>
      <c r="F120" s="208" t="e">
        <f>'TANK HARDWARE'!#REF!+P120</f>
        <v>#REF!</v>
      </c>
      <c r="G120" s="167"/>
      <c r="H120" s="167"/>
      <c r="I120" s="167"/>
      <c r="J120" s="167"/>
      <c r="K120" s="167"/>
      <c r="L120" s="168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09" t="e">
        <f>'TANK HARDWARE'!M384</f>
        <v>#REF!</v>
      </c>
      <c r="D121" s="162"/>
      <c r="E121" s="163"/>
      <c r="F121" s="208" t="e">
        <f>'TANK HARDWARE'!#REF!+P121</f>
        <v>#REF!</v>
      </c>
      <c r="G121" s="167"/>
      <c r="H121" s="167"/>
      <c r="I121" s="167"/>
      <c r="J121" s="167"/>
      <c r="K121" s="167"/>
      <c r="L121" s="168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09" t="e">
        <f>'TANK HARDWARE'!M385</f>
        <v>#REF!</v>
      </c>
      <c r="D122" s="162"/>
      <c r="E122" s="163"/>
      <c r="F122" s="208" t="e">
        <f>'TANK HARDWARE'!#REF!+P122</f>
        <v>#REF!</v>
      </c>
      <c r="G122" s="167"/>
      <c r="H122" s="167"/>
      <c r="I122" s="167"/>
      <c r="J122" s="167"/>
      <c r="K122" s="167"/>
      <c r="L122" s="168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09" t="e">
        <f>'TANK HARDWARE'!M386</f>
        <v>#REF!</v>
      </c>
      <c r="D123" s="162"/>
      <c r="E123" s="163"/>
      <c r="F123" s="208" t="e">
        <f>'TANK HARDWARE'!#REF!+P123</f>
        <v>#REF!</v>
      </c>
      <c r="G123" s="167"/>
      <c r="H123" s="167"/>
      <c r="I123" s="167"/>
      <c r="J123" s="167"/>
      <c r="K123" s="167"/>
      <c r="L123" s="168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09" t="e">
        <f>'TANK HARDWARE'!M387</f>
        <v>#REF!</v>
      </c>
      <c r="D124" s="162"/>
      <c r="E124" s="163"/>
      <c r="F124" s="208" t="e">
        <f>'TANK HARDWARE'!#REF!+P124</f>
        <v>#REF!</v>
      </c>
      <c r="G124" s="167"/>
      <c r="H124" s="167"/>
      <c r="I124" s="167"/>
      <c r="J124" s="167"/>
      <c r="K124" s="167"/>
      <c r="L124" s="168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09" t="e">
        <f>'TANK HARDWARE'!M388</f>
        <v>#REF!</v>
      </c>
      <c r="D125" s="162"/>
      <c r="E125" s="163"/>
      <c r="F125" s="208" t="e">
        <f>'TANK HARDWARE'!#REF!+P125</f>
        <v>#REF!</v>
      </c>
      <c r="G125" s="167"/>
      <c r="H125" s="167"/>
      <c r="I125" s="167"/>
      <c r="J125" s="167"/>
      <c r="K125" s="167"/>
      <c r="L125" s="168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09" t="e">
        <f>'TANK HARDWARE'!M389</f>
        <v>#REF!</v>
      </c>
      <c r="D126" s="162"/>
      <c r="E126" s="163"/>
      <c r="F126" s="208" t="e">
        <f>'TANK HARDWARE'!#REF!+P126</f>
        <v>#REF!</v>
      </c>
      <c r="G126" s="167"/>
      <c r="H126" s="167"/>
      <c r="I126" s="167"/>
      <c r="J126" s="167"/>
      <c r="K126" s="167"/>
      <c r="L126" s="168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09" t="e">
        <f>'TANK HARDWARE'!M390</f>
        <v>#REF!</v>
      </c>
      <c r="D127" s="162"/>
      <c r="E127" s="163"/>
      <c r="F127" s="208" t="e">
        <f>'TANK HARDWARE'!#REF!+P127</f>
        <v>#REF!</v>
      </c>
      <c r="G127" s="167"/>
      <c r="H127" s="167"/>
      <c r="I127" s="167"/>
      <c r="J127" s="167"/>
      <c r="K127" s="167"/>
      <c r="L127" s="168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09" t="e">
        <f>'TANK HARDWARE'!M391</f>
        <v>#REF!</v>
      </c>
      <c r="D128" s="162"/>
      <c r="E128" s="163"/>
      <c r="F128" s="208" t="e">
        <f>'TANK HARDWARE'!#REF!+P128</f>
        <v>#REF!</v>
      </c>
      <c r="G128" s="167"/>
      <c r="H128" s="167"/>
      <c r="I128" s="167"/>
      <c r="J128" s="167"/>
      <c r="K128" s="167"/>
      <c r="L128" s="168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09" t="e">
        <f>'TANK HARDWARE'!M392</f>
        <v>#REF!</v>
      </c>
      <c r="D129" s="162"/>
      <c r="E129" s="163"/>
      <c r="F129" s="208" t="e">
        <f>'TANK HARDWARE'!#REF!+P129</f>
        <v>#REF!</v>
      </c>
      <c r="G129" s="167"/>
      <c r="H129" s="167"/>
      <c r="I129" s="167"/>
      <c r="J129" s="167"/>
      <c r="K129" s="167"/>
      <c r="L129" s="168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09" t="e">
        <f>'TANK HARDWARE'!M393</f>
        <v>#REF!</v>
      </c>
      <c r="D130" s="162"/>
      <c r="E130" s="163"/>
      <c r="F130" s="208" t="e">
        <f>'TANK HARDWARE'!#REF!+P130</f>
        <v>#REF!</v>
      </c>
      <c r="G130" s="167"/>
      <c r="H130" s="167"/>
      <c r="I130" s="167"/>
      <c r="J130" s="167"/>
      <c r="K130" s="167"/>
      <c r="L130" s="168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09" t="e">
        <f>'TANK HARDWARE'!M394</f>
        <v>#REF!</v>
      </c>
      <c r="D131" s="162"/>
      <c r="E131" s="163"/>
      <c r="F131" s="208" t="e">
        <f>'TANK HARDWARE'!#REF!+P131</f>
        <v>#REF!</v>
      </c>
      <c r="G131" s="167"/>
      <c r="H131" s="167"/>
      <c r="I131" s="167"/>
      <c r="J131" s="167"/>
      <c r="K131" s="167"/>
      <c r="L131" s="168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09" t="e">
        <f>'TANK HARDWARE'!M395</f>
        <v>#REF!</v>
      </c>
      <c r="D132" s="162"/>
      <c r="E132" s="163"/>
      <c r="F132" s="208" t="e">
        <f>'TANK HARDWARE'!#REF!+P132</f>
        <v>#REF!</v>
      </c>
      <c r="G132" s="167"/>
      <c r="H132" s="167"/>
      <c r="I132" s="167"/>
      <c r="J132" s="167"/>
      <c r="K132" s="167"/>
      <c r="L132" s="168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09" t="e">
        <f>'TANK HARDWARE'!M396</f>
        <v>#REF!</v>
      </c>
      <c r="D133" s="162"/>
      <c r="E133" s="163"/>
      <c r="F133" s="208" t="e">
        <f>'TANK HARDWARE'!#REF!+P133</f>
        <v>#REF!</v>
      </c>
      <c r="G133" s="167"/>
      <c r="H133" s="167"/>
      <c r="I133" s="167"/>
      <c r="J133" s="167"/>
      <c r="K133" s="167"/>
      <c r="L133" s="168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09" t="e">
        <f>'TANK HARDWARE'!M397</f>
        <v>#REF!</v>
      </c>
      <c r="D134" s="162"/>
      <c r="E134" s="163"/>
      <c r="F134" s="208" t="e">
        <f>'TANK HARDWARE'!#REF!+P134</f>
        <v>#REF!</v>
      </c>
      <c r="G134" s="167"/>
      <c r="H134" s="167"/>
      <c r="I134" s="167"/>
      <c r="J134" s="167"/>
      <c r="K134" s="167"/>
      <c r="L134" s="168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09" t="e">
        <f>'TANK HARDWARE'!M398</f>
        <v>#REF!</v>
      </c>
      <c r="D135" s="162"/>
      <c r="E135" s="163"/>
      <c r="F135" s="208" t="e">
        <f>'TANK HARDWARE'!#REF!+P135</f>
        <v>#REF!</v>
      </c>
      <c r="G135" s="167"/>
      <c r="H135" s="167"/>
      <c r="I135" s="167"/>
      <c r="J135" s="167"/>
      <c r="K135" s="167"/>
      <c r="L135" s="168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09" t="e">
        <f>'TANK HARDWARE'!M411</f>
        <v>#REF!</v>
      </c>
      <c r="D136" s="162"/>
      <c r="E136" s="163"/>
      <c r="F136" s="208" t="e">
        <f>'TANK HARDWARE'!#REF!+P136</f>
        <v>#REF!</v>
      </c>
      <c r="G136" s="167"/>
      <c r="H136" s="167"/>
      <c r="I136" s="167"/>
      <c r="J136" s="167"/>
      <c r="K136" s="167"/>
      <c r="L136" s="168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09" t="e">
        <f>'TANK HARDWARE'!M412</f>
        <v>#REF!</v>
      </c>
      <c r="D137" s="162"/>
      <c r="E137" s="163"/>
      <c r="F137" s="208" t="e">
        <f>'TANK HARDWARE'!#REF!+P137</f>
        <v>#REF!</v>
      </c>
      <c r="G137" s="167"/>
      <c r="H137" s="167"/>
      <c r="I137" s="167"/>
      <c r="J137" s="167"/>
      <c r="K137" s="167"/>
      <c r="L137" s="168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09" t="e">
        <f>'TANK HARDWARE'!M413</f>
        <v>#REF!</v>
      </c>
      <c r="D138" s="162"/>
      <c r="E138" s="163"/>
      <c r="F138" s="208" t="e">
        <f>'TANK HARDWARE'!#REF!+P138</f>
        <v>#REF!</v>
      </c>
      <c r="G138" s="167"/>
      <c r="H138" s="167"/>
      <c r="I138" s="167"/>
      <c r="J138" s="167"/>
      <c r="K138" s="167"/>
      <c r="L138" s="168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09" t="e">
        <f>'TANK HARDWARE'!M414</f>
        <v>#REF!</v>
      </c>
      <c r="D139" s="162"/>
      <c r="E139" s="163"/>
      <c r="F139" s="208" t="e">
        <f>'TANK HARDWARE'!#REF!+P139</f>
        <v>#REF!</v>
      </c>
      <c r="G139" s="167"/>
      <c r="H139" s="167"/>
      <c r="I139" s="167"/>
      <c r="J139" s="167"/>
      <c r="K139" s="167"/>
      <c r="L139" s="168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09" t="e">
        <f>'TANK HARDWARE'!M415</f>
        <v>#REF!</v>
      </c>
      <c r="D140" s="162"/>
      <c r="E140" s="163"/>
      <c r="F140" s="208" t="e">
        <f>'TANK HARDWARE'!#REF!+P140</f>
        <v>#REF!</v>
      </c>
      <c r="G140" s="167"/>
      <c r="H140" s="167"/>
      <c r="I140" s="167"/>
      <c r="J140" s="167"/>
      <c r="K140" s="167"/>
      <c r="L140" s="168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09" t="e">
        <f>'TANK HARDWARE'!M416</f>
        <v>#REF!</v>
      </c>
      <c r="D141" s="162"/>
      <c r="E141" s="163"/>
      <c r="F141" s="208" t="e">
        <f>'TANK HARDWARE'!#REF!+P141</f>
        <v>#REF!</v>
      </c>
      <c r="G141" s="167"/>
      <c r="H141" s="167"/>
      <c r="I141" s="167"/>
      <c r="J141" s="167"/>
      <c r="K141" s="167"/>
      <c r="L141" s="168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09" t="e">
        <f>'TANK HARDWARE'!M417</f>
        <v>#REF!</v>
      </c>
      <c r="D142" s="162"/>
      <c r="E142" s="163"/>
      <c r="F142" s="208" t="e">
        <f>'TANK HARDWARE'!#REF!+P142</f>
        <v>#REF!</v>
      </c>
      <c r="G142" s="167"/>
      <c r="H142" s="167"/>
      <c r="I142" s="167"/>
      <c r="J142" s="167"/>
      <c r="K142" s="167"/>
      <c r="L142" s="168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09" t="e">
        <f>'TANK HARDWARE'!M418</f>
        <v>#REF!</v>
      </c>
      <c r="D143" s="162"/>
      <c r="E143" s="163"/>
      <c r="F143" s="208" t="e">
        <f>'TANK HARDWARE'!#REF!+P143</f>
        <v>#REF!</v>
      </c>
      <c r="G143" s="167"/>
      <c r="H143" s="167"/>
      <c r="I143" s="167"/>
      <c r="J143" s="167"/>
      <c r="K143" s="167"/>
      <c r="L143" s="168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09" t="e">
        <f>'TANK HARDWARE'!M419</f>
        <v>#REF!</v>
      </c>
      <c r="D144" s="162"/>
      <c r="E144" s="163"/>
      <c r="F144" s="208" t="e">
        <f>'TANK HARDWARE'!#REF!+P144</f>
        <v>#REF!</v>
      </c>
      <c r="G144" s="167"/>
      <c r="H144" s="167"/>
      <c r="I144" s="167"/>
      <c r="J144" s="167"/>
      <c r="K144" s="167"/>
      <c r="L144" s="168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09" t="e">
        <f>'TANK HARDWARE'!M420</f>
        <v>#REF!</v>
      </c>
      <c r="D145" s="162"/>
      <c r="E145" s="163"/>
      <c r="F145" s="208" t="e">
        <f>'TANK HARDWARE'!#REF!+P145</f>
        <v>#REF!</v>
      </c>
      <c r="G145" s="167"/>
      <c r="H145" s="167"/>
      <c r="I145" s="167"/>
      <c r="J145" s="167"/>
      <c r="K145" s="167"/>
      <c r="L145" s="168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09" t="e">
        <f>'TANK HARDWARE'!M421</f>
        <v>#REF!</v>
      </c>
      <c r="D146" s="162"/>
      <c r="E146" s="163"/>
      <c r="F146" s="208" t="e">
        <f>'TANK HARDWARE'!#REF!+P146</f>
        <v>#REF!</v>
      </c>
      <c r="G146" s="167"/>
      <c r="H146" s="167"/>
      <c r="I146" s="167"/>
      <c r="J146" s="167"/>
      <c r="K146" s="167"/>
      <c r="L146" s="168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09" t="e">
        <f>'TANK HARDWARE'!M422</f>
        <v>#REF!</v>
      </c>
      <c r="D147" s="162"/>
      <c r="E147" s="163"/>
      <c r="F147" s="208" t="e">
        <f>'TANK HARDWARE'!#REF!+P147</f>
        <v>#REF!</v>
      </c>
      <c r="G147" s="167"/>
      <c r="H147" s="167"/>
      <c r="I147" s="167"/>
      <c r="J147" s="167"/>
      <c r="K147" s="167"/>
      <c r="L147" s="168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09" t="e">
        <f>'TANK HARDWARE'!M423</f>
        <v>#REF!</v>
      </c>
      <c r="D148" s="162"/>
      <c r="E148" s="163"/>
      <c r="F148" s="208" t="e">
        <f>'TANK HARDWARE'!#REF!+P148</f>
        <v>#REF!</v>
      </c>
      <c r="G148" s="167"/>
      <c r="H148" s="167"/>
      <c r="I148" s="167"/>
      <c r="J148" s="167"/>
      <c r="K148" s="167"/>
      <c r="L148" s="168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09" t="e">
        <f>'TANK HARDWARE'!M424</f>
        <v>#REF!</v>
      </c>
      <c r="D149" s="162"/>
      <c r="E149" s="163"/>
      <c r="F149" s="208" t="e">
        <f>'TANK HARDWARE'!#REF!+P149</f>
        <v>#REF!</v>
      </c>
      <c r="G149" s="167"/>
      <c r="H149" s="167"/>
      <c r="I149" s="167"/>
      <c r="J149" s="167"/>
      <c r="K149" s="167"/>
      <c r="L149" s="168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09" t="e">
        <f>'TANK HARDWARE'!M425</f>
        <v>#REF!</v>
      </c>
      <c r="D150" s="162"/>
      <c r="E150" s="163"/>
      <c r="F150" s="208" t="e">
        <f>'TANK HARDWARE'!#REF!+P150</f>
        <v>#REF!</v>
      </c>
      <c r="G150" s="167"/>
      <c r="H150" s="167"/>
      <c r="I150" s="167"/>
      <c r="J150" s="167"/>
      <c r="K150" s="167"/>
      <c r="L150" s="168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09" t="e">
        <f>'TANK HARDWARE'!M426</f>
        <v>#REF!</v>
      </c>
      <c r="D151" s="162"/>
      <c r="E151" s="163"/>
      <c r="F151" s="208" t="e">
        <f>'TANK HARDWARE'!#REF!+P151</f>
        <v>#REF!</v>
      </c>
      <c r="G151" s="167"/>
      <c r="H151" s="167"/>
      <c r="I151" s="167"/>
      <c r="J151" s="167"/>
      <c r="K151" s="167"/>
      <c r="L151" s="168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09" t="e">
        <f>'TANK HARDWARE'!M427</f>
        <v>#REF!</v>
      </c>
      <c r="D152" s="162"/>
      <c r="E152" s="163"/>
      <c r="F152" s="208" t="e">
        <f>'TANK HARDWARE'!#REF!+P152</f>
        <v>#REF!</v>
      </c>
      <c r="G152" s="167"/>
      <c r="H152" s="167"/>
      <c r="I152" s="167"/>
      <c r="J152" s="167"/>
      <c r="K152" s="167"/>
      <c r="L152" s="168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09" t="e">
        <f>'TANK HARDWARE'!M428</f>
        <v>#REF!</v>
      </c>
      <c r="D153" s="162"/>
      <c r="E153" s="163"/>
      <c r="F153" s="208" t="e">
        <f>'TANK HARDWARE'!#REF!+P153</f>
        <v>#REF!</v>
      </c>
      <c r="G153" s="167"/>
      <c r="H153" s="167"/>
      <c r="I153" s="167"/>
      <c r="J153" s="167"/>
      <c r="K153" s="167"/>
      <c r="L153" s="168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09" t="e">
        <f>'TANK HARDWARE'!M429</f>
        <v>#REF!</v>
      </c>
      <c r="D154" s="162"/>
      <c r="E154" s="163"/>
      <c r="F154" s="208" t="e">
        <f>'TANK HARDWARE'!#REF!+P154</f>
        <v>#REF!</v>
      </c>
      <c r="G154" s="167"/>
      <c r="H154" s="167"/>
      <c r="I154" s="167"/>
      <c r="J154" s="167"/>
      <c r="K154" s="167"/>
      <c r="L154" s="168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09" t="e">
        <f>'TANK HARDWARE'!M430</f>
        <v>#REF!</v>
      </c>
      <c r="D155" s="162"/>
      <c r="E155" s="163"/>
      <c r="F155" s="208" t="e">
        <f>'TANK HARDWARE'!#REF!+P155</f>
        <v>#REF!</v>
      </c>
      <c r="G155" s="167"/>
      <c r="H155" s="167"/>
      <c r="I155" s="167"/>
      <c r="J155" s="167"/>
      <c r="K155" s="167"/>
      <c r="L155" s="168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09" t="e">
        <f>'TANK HARDWARE'!M431</f>
        <v>#REF!</v>
      </c>
      <c r="D156" s="162"/>
      <c r="E156" s="163"/>
      <c r="F156" s="208" t="e">
        <f>'TANK HARDWARE'!#REF!+P156</f>
        <v>#REF!</v>
      </c>
      <c r="G156" s="167"/>
      <c r="H156" s="167"/>
      <c r="I156" s="167"/>
      <c r="J156" s="167"/>
      <c r="K156" s="167"/>
      <c r="L156" s="168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09" t="e">
        <f>'TANK HARDWARE'!M432</f>
        <v>#REF!</v>
      </c>
      <c r="D157" s="162"/>
      <c r="E157" s="163"/>
      <c r="F157" s="208" t="e">
        <f>'TANK HARDWARE'!#REF!+P157</f>
        <v>#REF!</v>
      </c>
      <c r="G157" s="167"/>
      <c r="H157" s="167"/>
      <c r="I157" s="167"/>
      <c r="J157" s="167"/>
      <c r="K157" s="167"/>
      <c r="L157" s="168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37"/>
      <c r="D158" s="238"/>
      <c r="E158" s="238"/>
      <c r="F158" s="240"/>
      <c r="G158" s="238"/>
      <c r="H158" s="238"/>
      <c r="I158" s="238"/>
      <c r="J158" s="238"/>
      <c r="K158" s="238"/>
      <c r="L158" s="224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13" t="s">
        <v>777</v>
      </c>
      <c r="D159" s="214"/>
      <c r="E159" s="215"/>
      <c r="F159" s="213" t="s">
        <v>66</v>
      </c>
      <c r="G159" s="214"/>
      <c r="H159" s="214"/>
      <c r="I159" s="214"/>
      <c r="J159" s="214"/>
      <c r="K159" s="214"/>
      <c r="L159" s="215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10" t="e">
        <f>'TANK HARDWARE'!#REF!</f>
        <v>#REF!</v>
      </c>
      <c r="D160" s="167"/>
      <c r="E160" s="168"/>
      <c r="F160" s="208" t="e">
        <f>'TANK HARDWARE'!H256+P160</f>
        <v>#REF!</v>
      </c>
      <c r="G160" s="167"/>
      <c r="H160" s="167"/>
      <c r="I160" s="167"/>
      <c r="J160" s="167"/>
      <c r="K160" s="167"/>
      <c r="L160" s="168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09" t="e">
        <f>'TANK HARDWARE'!#REF!</f>
        <v>#REF!</v>
      </c>
      <c r="D161" s="162"/>
      <c r="E161" s="163"/>
      <c r="F161" s="208" t="e">
        <f>'TANK HARDWARE'!H257+P161</f>
        <v>#REF!</v>
      </c>
      <c r="G161" s="167"/>
      <c r="H161" s="167"/>
      <c r="I161" s="167"/>
      <c r="J161" s="167"/>
      <c r="K161" s="167"/>
      <c r="L161" s="168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09" t="e">
        <f>'TANK HARDWARE'!#REF!</f>
        <v>#REF!</v>
      </c>
      <c r="D162" s="162"/>
      <c r="E162" s="163"/>
      <c r="F162" s="208" t="e">
        <f>'TANK HARDWARE'!H258+P162</f>
        <v>#REF!</v>
      </c>
      <c r="G162" s="167"/>
      <c r="H162" s="167"/>
      <c r="I162" s="167"/>
      <c r="J162" s="167"/>
      <c r="K162" s="167"/>
      <c r="L162" s="168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09" t="e">
        <f>'TANK HARDWARE'!#REF!</f>
        <v>#REF!</v>
      </c>
      <c r="D163" s="162"/>
      <c r="E163" s="163"/>
      <c r="F163" s="208" t="e">
        <f>'TANK HARDWARE'!H259+P163</f>
        <v>#REF!</v>
      </c>
      <c r="G163" s="167"/>
      <c r="H163" s="167"/>
      <c r="I163" s="167"/>
      <c r="J163" s="167"/>
      <c r="K163" s="167"/>
      <c r="L163" s="168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09" t="e">
        <f>'TANK HARDWARE'!#REF!</f>
        <v>#REF!</v>
      </c>
      <c r="D164" s="162"/>
      <c r="E164" s="163"/>
      <c r="F164" s="208" t="e">
        <f>'TANK HARDWARE'!H260+P164</f>
        <v>#REF!</v>
      </c>
      <c r="G164" s="167"/>
      <c r="H164" s="167"/>
      <c r="I164" s="167"/>
      <c r="J164" s="167"/>
      <c r="K164" s="167"/>
      <c r="L164" s="168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09" t="e">
        <f>'TANK HARDWARE'!#REF!</f>
        <v>#REF!</v>
      </c>
      <c r="D165" s="162"/>
      <c r="E165" s="163"/>
      <c r="F165" s="208" t="e">
        <f>'TANK HARDWARE'!H261+P165</f>
        <v>#REF!</v>
      </c>
      <c r="G165" s="167"/>
      <c r="H165" s="167"/>
      <c r="I165" s="167"/>
      <c r="J165" s="167"/>
      <c r="K165" s="167"/>
      <c r="L165" s="168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09" t="e">
        <f>'TANK HARDWARE'!#REF!</f>
        <v>#REF!</v>
      </c>
      <c r="D166" s="162"/>
      <c r="E166" s="163"/>
      <c r="F166" s="208" t="e">
        <f>'TANK HARDWARE'!H262+P166</f>
        <v>#REF!</v>
      </c>
      <c r="G166" s="167"/>
      <c r="H166" s="167"/>
      <c r="I166" s="167"/>
      <c r="J166" s="167"/>
      <c r="K166" s="167"/>
      <c r="L166" s="168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09" t="e">
        <f>'TANK HARDWARE'!#REF!</f>
        <v>#REF!</v>
      </c>
      <c r="D167" s="162"/>
      <c r="E167" s="163"/>
      <c r="F167" s="208" t="e">
        <f>'TANK HARDWARE'!H263+P167</f>
        <v>#REF!</v>
      </c>
      <c r="G167" s="167"/>
      <c r="H167" s="167"/>
      <c r="I167" s="167"/>
      <c r="J167" s="167"/>
      <c r="K167" s="167"/>
      <c r="L167" s="168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09" t="e">
        <f>'TANK HARDWARE'!#REF!</f>
        <v>#REF!</v>
      </c>
      <c r="D168" s="162"/>
      <c r="E168" s="163"/>
      <c r="F168" s="208" t="e">
        <f>'TANK HARDWARE'!H264+P168</f>
        <v>#REF!</v>
      </c>
      <c r="G168" s="167"/>
      <c r="H168" s="167"/>
      <c r="I168" s="167"/>
      <c r="J168" s="167"/>
      <c r="K168" s="167"/>
      <c r="L168" s="168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09" t="e">
        <f>'TANK HARDWARE'!#REF!</f>
        <v>#REF!</v>
      </c>
      <c r="D169" s="162"/>
      <c r="E169" s="163"/>
      <c r="F169" s="208" t="e">
        <f>'TANK HARDWARE'!H265+P169</f>
        <v>#REF!</v>
      </c>
      <c r="G169" s="167"/>
      <c r="H169" s="167"/>
      <c r="I169" s="167"/>
      <c r="J169" s="167"/>
      <c r="K169" s="167"/>
      <c r="L169" s="168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09" t="e">
        <f>'TANK HARDWARE'!#REF!</f>
        <v>#REF!</v>
      </c>
      <c r="D170" s="162"/>
      <c r="E170" s="163"/>
      <c r="F170" s="208" t="e">
        <f>'TANK HARDWARE'!H266+P170</f>
        <v>#REF!</v>
      </c>
      <c r="G170" s="167"/>
      <c r="H170" s="167"/>
      <c r="I170" s="167"/>
      <c r="J170" s="167"/>
      <c r="K170" s="167"/>
      <c r="L170" s="168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09" t="e">
        <f>'TANK HARDWARE'!#REF!</f>
        <v>#REF!</v>
      </c>
      <c r="D171" s="162"/>
      <c r="E171" s="163"/>
      <c r="F171" s="208" t="e">
        <f>'TANK HARDWARE'!H267+P171</f>
        <v>#REF!</v>
      </c>
      <c r="G171" s="167"/>
      <c r="H171" s="167"/>
      <c r="I171" s="167"/>
      <c r="J171" s="167"/>
      <c r="K171" s="167"/>
      <c r="L171" s="168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09" t="e">
        <f>'TANK HARDWARE'!#REF!</f>
        <v>#REF!</v>
      </c>
      <c r="D172" s="162"/>
      <c r="E172" s="163"/>
      <c r="F172" s="208" t="e">
        <f>'TANK HARDWARE'!H268+P172</f>
        <v>#REF!</v>
      </c>
      <c r="G172" s="167"/>
      <c r="H172" s="167"/>
      <c r="I172" s="167"/>
      <c r="J172" s="167"/>
      <c r="K172" s="167"/>
      <c r="L172" s="168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09" t="e">
        <f>'TANK HARDWARE'!#REF!</f>
        <v>#REF!</v>
      </c>
      <c r="D173" s="162"/>
      <c r="E173" s="163"/>
      <c r="F173" s="208" t="e">
        <f>'TANK HARDWARE'!H269+P173</f>
        <v>#REF!</v>
      </c>
      <c r="G173" s="167"/>
      <c r="H173" s="167"/>
      <c r="I173" s="167"/>
      <c r="J173" s="167"/>
      <c r="K173" s="167"/>
      <c r="L173" s="168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09" t="e">
        <f>'TANK HARDWARE'!#REF!</f>
        <v>#REF!</v>
      </c>
      <c r="D174" s="162"/>
      <c r="E174" s="163"/>
      <c r="F174" s="208" t="e">
        <f>'TANK HARDWARE'!H270+P174</f>
        <v>#REF!</v>
      </c>
      <c r="G174" s="167"/>
      <c r="H174" s="167"/>
      <c r="I174" s="167"/>
      <c r="J174" s="167"/>
      <c r="K174" s="167"/>
      <c r="L174" s="168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09" t="e">
        <f>'TANK HARDWARE'!#REF!</f>
        <v>#REF!</v>
      </c>
      <c r="D175" s="162"/>
      <c r="E175" s="163"/>
      <c r="F175" s="208" t="e">
        <f>'TANK HARDWARE'!H271+P175</f>
        <v>#REF!</v>
      </c>
      <c r="G175" s="167"/>
      <c r="H175" s="167"/>
      <c r="I175" s="167"/>
      <c r="J175" s="167"/>
      <c r="K175" s="167"/>
      <c r="L175" s="168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09" t="e">
        <f>'TANK HARDWARE'!#REF!</f>
        <v>#REF!</v>
      </c>
      <c r="D176" s="162"/>
      <c r="E176" s="163"/>
      <c r="F176" s="208" t="e">
        <f>'TANK HARDWARE'!H272+P176</f>
        <v>#REF!</v>
      </c>
      <c r="G176" s="167"/>
      <c r="H176" s="167"/>
      <c r="I176" s="167"/>
      <c r="J176" s="167"/>
      <c r="K176" s="167"/>
      <c r="L176" s="168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09" t="e">
        <f>'TANK HARDWARE'!#REF!</f>
        <v>#REF!</v>
      </c>
      <c r="D177" s="162"/>
      <c r="E177" s="163"/>
      <c r="F177" s="208" t="e">
        <f>'TANK HARDWARE'!H273+P177</f>
        <v>#REF!</v>
      </c>
      <c r="G177" s="167"/>
      <c r="H177" s="167"/>
      <c r="I177" s="167"/>
      <c r="J177" s="167"/>
      <c r="K177" s="167"/>
      <c r="L177" s="168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09" t="e">
        <f>'TANK HARDWARE'!#REF!</f>
        <v>#REF!</v>
      </c>
      <c r="D178" s="162"/>
      <c r="E178" s="163"/>
      <c r="F178" s="208" t="e">
        <f>'TANK HARDWARE'!H274+P178</f>
        <v>#REF!</v>
      </c>
      <c r="G178" s="167"/>
      <c r="H178" s="167"/>
      <c r="I178" s="167"/>
      <c r="J178" s="167"/>
      <c r="K178" s="167"/>
      <c r="L178" s="168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09" t="e">
        <f>'TANK HARDWARE'!#REF!</f>
        <v>#REF!</v>
      </c>
      <c r="D179" s="162"/>
      <c r="E179" s="163"/>
      <c r="F179" s="208" t="e">
        <f>'TANK HARDWARE'!H275+P179</f>
        <v>#REF!</v>
      </c>
      <c r="G179" s="167"/>
      <c r="H179" s="167"/>
      <c r="I179" s="167"/>
      <c r="J179" s="167"/>
      <c r="K179" s="167"/>
      <c r="L179" s="168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09" t="e">
        <f>'TANK HARDWARE'!#REF!</f>
        <v>#REF!</v>
      </c>
      <c r="D180" s="162"/>
      <c r="E180" s="163"/>
      <c r="F180" s="208" t="e">
        <f>'TANK HARDWARE'!H276+P180</f>
        <v>#REF!</v>
      </c>
      <c r="G180" s="167"/>
      <c r="H180" s="167"/>
      <c r="I180" s="167"/>
      <c r="J180" s="167"/>
      <c r="K180" s="167"/>
      <c r="L180" s="168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09" t="e">
        <f>'TANK HARDWARE'!#REF!</f>
        <v>#REF!</v>
      </c>
      <c r="D181" s="162"/>
      <c r="E181" s="163"/>
      <c r="F181" s="208" t="e">
        <f>'TANK HARDWARE'!H277+P181</f>
        <v>#REF!</v>
      </c>
      <c r="G181" s="167"/>
      <c r="H181" s="167"/>
      <c r="I181" s="167"/>
      <c r="J181" s="167"/>
      <c r="K181" s="167"/>
      <c r="L181" s="168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09" t="e">
        <f>'TANK HARDWARE'!#REF!</f>
        <v>#REF!</v>
      </c>
      <c r="D182" s="162"/>
      <c r="E182" s="163"/>
      <c r="F182" s="208" t="e">
        <f>'TANK HARDWARE'!H278+P182</f>
        <v>#REF!</v>
      </c>
      <c r="G182" s="167"/>
      <c r="H182" s="167"/>
      <c r="I182" s="167"/>
      <c r="J182" s="167"/>
      <c r="K182" s="167"/>
      <c r="L182" s="168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09" t="e">
        <f>'TANK HARDWARE'!#REF!</f>
        <v>#REF!</v>
      </c>
      <c r="D183" s="162"/>
      <c r="E183" s="163"/>
      <c r="F183" s="208" t="e">
        <f>'TANK HARDWARE'!H279+P183</f>
        <v>#REF!</v>
      </c>
      <c r="G183" s="167"/>
      <c r="H183" s="167"/>
      <c r="I183" s="167"/>
      <c r="J183" s="167"/>
      <c r="K183" s="167"/>
      <c r="L183" s="168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09" t="e">
        <f>'TANK HARDWARE'!#REF!</f>
        <v>#REF!</v>
      </c>
      <c r="D184" s="162"/>
      <c r="E184" s="163"/>
      <c r="F184" s="208" t="e">
        <f>'TANK HARDWARE'!H280+P184</f>
        <v>#REF!</v>
      </c>
      <c r="G184" s="167"/>
      <c r="H184" s="167"/>
      <c r="I184" s="167"/>
      <c r="J184" s="167"/>
      <c r="K184" s="167"/>
      <c r="L184" s="168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09" t="e">
        <f>'TANK HARDWARE'!#REF!</f>
        <v>#REF!</v>
      </c>
      <c r="D185" s="162"/>
      <c r="E185" s="163"/>
      <c r="F185" s="208" t="e">
        <f>'TANK HARDWARE'!H281+P185</f>
        <v>#REF!</v>
      </c>
      <c r="G185" s="167"/>
      <c r="H185" s="167"/>
      <c r="I185" s="167"/>
      <c r="J185" s="167"/>
      <c r="K185" s="167"/>
      <c r="L185" s="168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09" t="e">
        <f>'TANK HARDWARE'!#REF!</f>
        <v>#REF!</v>
      </c>
      <c r="D186" s="162"/>
      <c r="E186" s="163"/>
      <c r="F186" s="208" t="e">
        <f>'TANK HARDWARE'!H282+P186</f>
        <v>#REF!</v>
      </c>
      <c r="G186" s="167"/>
      <c r="H186" s="167"/>
      <c r="I186" s="167"/>
      <c r="J186" s="167"/>
      <c r="K186" s="167"/>
      <c r="L186" s="168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09" t="e">
        <f>'TANK HARDWARE'!#REF!</f>
        <v>#REF!</v>
      </c>
      <c r="D187" s="162"/>
      <c r="E187" s="163"/>
      <c r="F187" s="208" t="e">
        <f>'TANK HARDWARE'!H283+P187</f>
        <v>#REF!</v>
      </c>
      <c r="G187" s="167"/>
      <c r="H187" s="167"/>
      <c r="I187" s="167"/>
      <c r="J187" s="167"/>
      <c r="K187" s="167"/>
      <c r="L187" s="168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09" t="e">
        <f>'TANK HARDWARE'!#REF!</f>
        <v>#REF!</v>
      </c>
      <c r="D188" s="162"/>
      <c r="E188" s="163"/>
      <c r="F188" s="208" t="e">
        <f>'TANK HARDWARE'!H284+P188</f>
        <v>#REF!</v>
      </c>
      <c r="G188" s="167"/>
      <c r="H188" s="167"/>
      <c r="I188" s="167"/>
      <c r="J188" s="167"/>
      <c r="K188" s="167"/>
      <c r="L188" s="168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09" t="e">
        <f>'TANK HARDWARE'!#REF!</f>
        <v>#REF!</v>
      </c>
      <c r="D189" s="162"/>
      <c r="E189" s="163"/>
      <c r="F189" s="208" t="e">
        <f>'TANK HARDWARE'!H285+P189</f>
        <v>#REF!</v>
      </c>
      <c r="G189" s="167"/>
      <c r="H189" s="167"/>
      <c r="I189" s="167"/>
      <c r="J189" s="167"/>
      <c r="K189" s="167"/>
      <c r="L189" s="168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09" t="e">
        <f>'TANK HARDWARE'!#REF!</f>
        <v>#REF!</v>
      </c>
      <c r="D190" s="162"/>
      <c r="E190" s="163"/>
      <c r="F190" s="208" t="e">
        <f>'TANK HARDWARE'!H286+P190</f>
        <v>#REF!</v>
      </c>
      <c r="G190" s="167"/>
      <c r="H190" s="167"/>
      <c r="I190" s="167"/>
      <c r="J190" s="167"/>
      <c r="K190" s="167"/>
      <c r="L190" s="168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09" t="e">
        <f>'TANK HARDWARE'!#REF!</f>
        <v>#REF!</v>
      </c>
      <c r="D191" s="162"/>
      <c r="E191" s="163"/>
      <c r="F191" s="208" t="e">
        <f>'TANK HARDWARE'!H287+P191</f>
        <v>#REF!</v>
      </c>
      <c r="G191" s="167"/>
      <c r="H191" s="167"/>
      <c r="I191" s="167"/>
      <c r="J191" s="167"/>
      <c r="K191" s="167"/>
      <c r="L191" s="168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09" t="e">
        <f>'TANK HARDWARE'!#REF!</f>
        <v>#REF!</v>
      </c>
      <c r="D192" s="162"/>
      <c r="E192" s="163"/>
      <c r="F192" s="208" t="e">
        <f>'TANK HARDWARE'!H288+P192</f>
        <v>#REF!</v>
      </c>
      <c r="G192" s="167"/>
      <c r="H192" s="167"/>
      <c r="I192" s="167"/>
      <c r="J192" s="167"/>
      <c r="K192" s="167"/>
      <c r="L192" s="168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09" t="e">
        <f>'TANK HARDWARE'!#REF!</f>
        <v>#REF!</v>
      </c>
      <c r="D193" s="162"/>
      <c r="E193" s="163"/>
      <c r="F193" s="208" t="e">
        <f>'TANK HARDWARE'!H289+P193</f>
        <v>#REF!</v>
      </c>
      <c r="G193" s="167"/>
      <c r="H193" s="167"/>
      <c r="I193" s="167"/>
      <c r="J193" s="167"/>
      <c r="K193" s="167"/>
      <c r="L193" s="168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09" t="e">
        <f>'TANK HARDWARE'!#REF!</f>
        <v>#REF!</v>
      </c>
      <c r="D194" s="162"/>
      <c r="E194" s="163"/>
      <c r="F194" s="208" t="e">
        <f>'TANK HARDWARE'!H290+P194</f>
        <v>#REF!</v>
      </c>
      <c r="G194" s="167"/>
      <c r="H194" s="167"/>
      <c r="I194" s="167"/>
      <c r="J194" s="167"/>
      <c r="K194" s="167"/>
      <c r="L194" s="168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09" t="e">
        <f>'TANK HARDWARE'!#REF!</f>
        <v>#REF!</v>
      </c>
      <c r="D195" s="162"/>
      <c r="E195" s="163"/>
      <c r="F195" s="208" t="e">
        <f>'TANK HARDWARE'!H291+P195</f>
        <v>#REF!</v>
      </c>
      <c r="G195" s="167"/>
      <c r="H195" s="167"/>
      <c r="I195" s="167"/>
      <c r="J195" s="167"/>
      <c r="K195" s="167"/>
      <c r="L195" s="168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09" t="e">
        <f>'TANK HARDWARE'!#REF!</f>
        <v>#REF!</v>
      </c>
      <c r="D196" s="162"/>
      <c r="E196" s="163"/>
      <c r="F196" s="208" t="e">
        <f>'TANK HARDWARE'!H292+P196</f>
        <v>#REF!</v>
      </c>
      <c r="G196" s="167"/>
      <c r="H196" s="167"/>
      <c r="I196" s="167"/>
      <c r="J196" s="167"/>
      <c r="K196" s="167"/>
      <c r="L196" s="168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09" t="e">
        <f>'TANK HARDWARE'!#REF!</f>
        <v>#REF!</v>
      </c>
      <c r="D197" s="162"/>
      <c r="E197" s="163"/>
      <c r="F197" s="208" t="e">
        <f>'TANK HARDWARE'!H293+P197</f>
        <v>#REF!</v>
      </c>
      <c r="G197" s="167"/>
      <c r="H197" s="167"/>
      <c r="I197" s="167"/>
      <c r="J197" s="167"/>
      <c r="K197" s="167"/>
      <c r="L197" s="168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09" t="e">
        <f>'TANK HARDWARE'!#REF!</f>
        <v>#REF!</v>
      </c>
      <c r="D198" s="162"/>
      <c r="E198" s="163"/>
      <c r="F198" s="208" t="e">
        <f>'TANK HARDWARE'!H294+P198</f>
        <v>#REF!</v>
      </c>
      <c r="G198" s="167"/>
      <c r="H198" s="167"/>
      <c r="I198" s="167"/>
      <c r="J198" s="167"/>
      <c r="K198" s="167"/>
      <c r="L198" s="168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09" t="e">
        <f>'TANK HARDWARE'!#REF!</f>
        <v>#REF!</v>
      </c>
      <c r="D199" s="162"/>
      <c r="E199" s="163"/>
      <c r="F199" s="208" t="e">
        <f>'TANK HARDWARE'!H295+P199</f>
        <v>#REF!</v>
      </c>
      <c r="G199" s="167"/>
      <c r="H199" s="167"/>
      <c r="I199" s="167"/>
      <c r="J199" s="167"/>
      <c r="K199" s="167"/>
      <c r="L199" s="168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09" t="e">
        <f>'TANK HARDWARE'!#REF!</f>
        <v>#REF!</v>
      </c>
      <c r="D200" s="162"/>
      <c r="E200" s="163"/>
      <c r="F200" s="208" t="e">
        <f>'TANK HARDWARE'!H296+P200</f>
        <v>#REF!</v>
      </c>
      <c r="G200" s="167"/>
      <c r="H200" s="167"/>
      <c r="I200" s="167"/>
      <c r="J200" s="167"/>
      <c r="K200" s="167"/>
      <c r="L200" s="168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09" t="e">
        <f>'TANK HARDWARE'!#REF!</f>
        <v>#REF!</v>
      </c>
      <c r="D201" s="162"/>
      <c r="E201" s="163"/>
      <c r="F201" s="208" t="e">
        <f>'TANK HARDWARE'!H297+P201</f>
        <v>#REF!</v>
      </c>
      <c r="G201" s="167"/>
      <c r="H201" s="167"/>
      <c r="I201" s="167"/>
      <c r="J201" s="167"/>
      <c r="K201" s="167"/>
      <c r="L201" s="168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09" t="e">
        <f>'TANK HARDWARE'!#REF!</f>
        <v>#REF!</v>
      </c>
      <c r="D202" s="162"/>
      <c r="E202" s="163"/>
      <c r="F202" s="208" t="e">
        <f>'TANK HARDWARE'!H298+P202</f>
        <v>#REF!</v>
      </c>
      <c r="G202" s="167"/>
      <c r="H202" s="167"/>
      <c r="I202" s="167"/>
      <c r="J202" s="167"/>
      <c r="K202" s="167"/>
      <c r="L202" s="168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09" t="e">
        <f>'TANK HARDWARE'!#REF!</f>
        <v>#REF!</v>
      </c>
      <c r="D203" s="162"/>
      <c r="E203" s="163"/>
      <c r="F203" s="208" t="e">
        <f>'TANK HARDWARE'!H299+P203</f>
        <v>#REF!</v>
      </c>
      <c r="G203" s="167"/>
      <c r="H203" s="167"/>
      <c r="I203" s="167"/>
      <c r="J203" s="167"/>
      <c r="K203" s="167"/>
      <c r="L203" s="168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09" t="e">
        <f>'TANK HARDWARE'!#REF!</f>
        <v>#REF!</v>
      </c>
      <c r="D204" s="162"/>
      <c r="E204" s="163"/>
      <c r="F204" s="208" t="e">
        <f>'TANK HARDWARE'!H300+P204</f>
        <v>#REF!</v>
      </c>
      <c r="G204" s="167"/>
      <c r="H204" s="167"/>
      <c r="I204" s="167"/>
      <c r="J204" s="167"/>
      <c r="K204" s="167"/>
      <c r="L204" s="168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09" t="e">
        <f>'TANK HARDWARE'!#REF!</f>
        <v>#REF!</v>
      </c>
      <c r="D205" s="162"/>
      <c r="E205" s="163"/>
      <c r="F205" s="208" t="e">
        <f>'TANK HARDWARE'!H301+P205</f>
        <v>#REF!</v>
      </c>
      <c r="G205" s="167"/>
      <c r="H205" s="167"/>
      <c r="I205" s="167"/>
      <c r="J205" s="167"/>
      <c r="K205" s="167"/>
      <c r="L205" s="168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09" t="e">
        <f>'TANK HARDWARE'!#REF!</f>
        <v>#REF!</v>
      </c>
      <c r="D206" s="162"/>
      <c r="E206" s="163"/>
      <c r="F206" s="208" t="e">
        <f>'TANK HARDWARE'!H302+P206</f>
        <v>#REF!</v>
      </c>
      <c r="G206" s="167"/>
      <c r="H206" s="167"/>
      <c r="I206" s="167"/>
      <c r="J206" s="167"/>
      <c r="K206" s="167"/>
      <c r="L206" s="168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09" t="e">
        <f>'TANK HARDWARE'!#REF!</f>
        <v>#REF!</v>
      </c>
      <c r="D207" s="162"/>
      <c r="E207" s="163"/>
      <c r="F207" s="208" t="e">
        <f>'TANK HARDWARE'!H303+P207</f>
        <v>#REF!</v>
      </c>
      <c r="G207" s="167"/>
      <c r="H207" s="167"/>
      <c r="I207" s="167"/>
      <c r="J207" s="167"/>
      <c r="K207" s="167"/>
      <c r="L207" s="168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09" t="e">
        <f>'TANK HARDWARE'!#REF!</f>
        <v>#REF!</v>
      </c>
      <c r="D208" s="162"/>
      <c r="E208" s="163"/>
      <c r="F208" s="208" t="e">
        <f>'TANK HARDWARE'!H304+P208</f>
        <v>#REF!</v>
      </c>
      <c r="G208" s="167"/>
      <c r="H208" s="167"/>
      <c r="I208" s="167"/>
      <c r="J208" s="167"/>
      <c r="K208" s="167"/>
      <c r="L208" s="168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09" t="e">
        <f>'TANK HARDWARE'!#REF!</f>
        <v>#REF!</v>
      </c>
      <c r="D209" s="162"/>
      <c r="E209" s="163"/>
      <c r="F209" s="208" t="e">
        <f>'TANK HARDWARE'!H305+P209</f>
        <v>#REF!</v>
      </c>
      <c r="G209" s="167"/>
      <c r="H209" s="167"/>
      <c r="I209" s="167"/>
      <c r="J209" s="167"/>
      <c r="K209" s="167"/>
      <c r="L209" s="168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09" t="e">
        <f>'TANK HARDWARE'!#REF!</f>
        <v>#REF!</v>
      </c>
      <c r="D210" s="162"/>
      <c r="E210" s="163"/>
      <c r="F210" s="208" t="e">
        <f>'TANK HARDWARE'!H306+P210</f>
        <v>#REF!</v>
      </c>
      <c r="G210" s="167"/>
      <c r="H210" s="167"/>
      <c r="I210" s="167"/>
      <c r="J210" s="167"/>
      <c r="K210" s="167"/>
      <c r="L210" s="168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09" t="e">
        <f>'TANK HARDWARE'!#REF!</f>
        <v>#REF!</v>
      </c>
      <c r="D211" s="162"/>
      <c r="E211" s="163"/>
      <c r="F211" s="208" t="e">
        <f>'TANK HARDWARE'!H307+P211</f>
        <v>#REF!</v>
      </c>
      <c r="G211" s="167"/>
      <c r="H211" s="167"/>
      <c r="I211" s="167"/>
      <c r="J211" s="167"/>
      <c r="K211" s="167"/>
      <c r="L211" s="168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09" t="e">
        <f>'TANK HARDWARE'!#REF!</f>
        <v>#REF!</v>
      </c>
      <c r="D212" s="162"/>
      <c r="E212" s="163"/>
      <c r="F212" s="208" t="e">
        <f>'TANK HARDWARE'!H308+P212</f>
        <v>#REF!</v>
      </c>
      <c r="G212" s="167"/>
      <c r="H212" s="167"/>
      <c r="I212" s="167"/>
      <c r="J212" s="167"/>
      <c r="K212" s="167"/>
      <c r="L212" s="168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09" t="e">
        <f>'TANK HARDWARE'!#REF!</f>
        <v>#REF!</v>
      </c>
      <c r="D213" s="162"/>
      <c r="E213" s="163"/>
      <c r="F213" s="208" t="e">
        <f>'TANK HARDWARE'!H309+P213</f>
        <v>#REF!</v>
      </c>
      <c r="G213" s="167"/>
      <c r="H213" s="167"/>
      <c r="I213" s="167"/>
      <c r="J213" s="167"/>
      <c r="K213" s="167"/>
      <c r="L213" s="168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09" t="e">
        <f>'TANK HARDWARE'!#REF!</f>
        <v>#REF!</v>
      </c>
      <c r="D214" s="162"/>
      <c r="E214" s="163"/>
      <c r="F214" s="208" t="e">
        <f>'TANK HARDWARE'!H310+P214</f>
        <v>#REF!</v>
      </c>
      <c r="G214" s="167"/>
      <c r="H214" s="167"/>
      <c r="I214" s="167"/>
      <c r="J214" s="167"/>
      <c r="K214" s="167"/>
      <c r="L214" s="168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09" t="e">
        <f>'TANK HARDWARE'!#REF!</f>
        <v>#REF!</v>
      </c>
      <c r="D215" s="162"/>
      <c r="E215" s="163"/>
      <c r="F215" s="208" t="e">
        <f>'TANK HARDWARE'!H311+P215</f>
        <v>#REF!</v>
      </c>
      <c r="G215" s="167"/>
      <c r="H215" s="167"/>
      <c r="I215" s="167"/>
      <c r="J215" s="167"/>
      <c r="K215" s="167"/>
      <c r="L215" s="168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09" t="e">
        <f>'TANK HARDWARE'!#REF!</f>
        <v>#REF!</v>
      </c>
      <c r="D216" s="162"/>
      <c r="E216" s="163"/>
      <c r="F216" s="208" t="e">
        <f>'TANK HARDWARE'!H312+P216</f>
        <v>#REF!</v>
      </c>
      <c r="G216" s="167"/>
      <c r="H216" s="167"/>
      <c r="I216" s="167"/>
      <c r="J216" s="167"/>
      <c r="K216" s="167"/>
      <c r="L216" s="168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09" t="e">
        <f>'TANK HARDWARE'!#REF!</f>
        <v>#REF!</v>
      </c>
      <c r="D217" s="162"/>
      <c r="E217" s="163"/>
      <c r="F217" s="208" t="e">
        <f>'TANK HARDWARE'!H313+P217</f>
        <v>#REF!</v>
      </c>
      <c r="G217" s="167"/>
      <c r="H217" s="167"/>
      <c r="I217" s="167"/>
      <c r="J217" s="167"/>
      <c r="K217" s="167"/>
      <c r="L217" s="168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09" t="e">
        <f>'TANK HARDWARE'!#REF!</f>
        <v>#REF!</v>
      </c>
      <c r="D218" s="162"/>
      <c r="E218" s="163"/>
      <c r="F218" s="208" t="e">
        <f>'TANK HARDWARE'!H314+P218</f>
        <v>#REF!</v>
      </c>
      <c r="G218" s="167"/>
      <c r="H218" s="167"/>
      <c r="I218" s="167"/>
      <c r="J218" s="167"/>
      <c r="K218" s="167"/>
      <c r="L218" s="168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09" t="e">
        <f>'TANK HARDWARE'!#REF!</f>
        <v>#REF!</v>
      </c>
      <c r="D219" s="162"/>
      <c r="E219" s="163"/>
      <c r="F219" s="208" t="e">
        <f>'TANK HARDWARE'!H315+P219</f>
        <v>#REF!</v>
      </c>
      <c r="G219" s="167"/>
      <c r="H219" s="167"/>
      <c r="I219" s="167"/>
      <c r="J219" s="167"/>
      <c r="K219" s="167"/>
      <c r="L219" s="168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09" t="e">
        <f>'TANK HARDWARE'!#REF!</f>
        <v>#REF!</v>
      </c>
      <c r="D220" s="162"/>
      <c r="E220" s="163"/>
      <c r="F220" s="208" t="e">
        <f>'TANK HARDWARE'!H316+P220</f>
        <v>#REF!</v>
      </c>
      <c r="G220" s="167"/>
      <c r="H220" s="167"/>
      <c r="I220" s="167"/>
      <c r="J220" s="167"/>
      <c r="K220" s="167"/>
      <c r="L220" s="168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09" t="e">
        <f>'TANK HARDWARE'!#REF!</f>
        <v>#REF!</v>
      </c>
      <c r="D221" s="162"/>
      <c r="E221" s="163"/>
      <c r="F221" s="208" t="e">
        <f>'TANK HARDWARE'!H317+P221</f>
        <v>#REF!</v>
      </c>
      <c r="G221" s="167"/>
      <c r="H221" s="167"/>
      <c r="I221" s="167"/>
      <c r="J221" s="167"/>
      <c r="K221" s="167"/>
      <c r="L221" s="168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09" t="e">
        <f>'TANK HARDWARE'!#REF!</f>
        <v>#REF!</v>
      </c>
      <c r="D222" s="162"/>
      <c r="E222" s="163"/>
      <c r="F222" s="208" t="e">
        <f>'TANK HARDWARE'!H318+P222</f>
        <v>#REF!</v>
      </c>
      <c r="G222" s="167"/>
      <c r="H222" s="167"/>
      <c r="I222" s="167"/>
      <c r="J222" s="167"/>
      <c r="K222" s="167"/>
      <c r="L222" s="168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09" t="e">
        <f>'TANK HARDWARE'!#REF!</f>
        <v>#REF!</v>
      </c>
      <c r="D223" s="162"/>
      <c r="E223" s="163"/>
      <c r="F223" s="208" t="e">
        <f>'TANK HARDWARE'!H319+P223</f>
        <v>#REF!</v>
      </c>
      <c r="G223" s="167"/>
      <c r="H223" s="167"/>
      <c r="I223" s="167"/>
      <c r="J223" s="167"/>
      <c r="K223" s="167"/>
      <c r="L223" s="168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09" t="e">
        <f>'TANK HARDWARE'!#REF!</f>
        <v>#REF!</v>
      </c>
      <c r="D224" s="162"/>
      <c r="E224" s="163"/>
      <c r="F224" s="208" t="e">
        <f>'TANK HARDWARE'!H320+P224</f>
        <v>#REF!</v>
      </c>
      <c r="G224" s="167"/>
      <c r="H224" s="167"/>
      <c r="I224" s="167"/>
      <c r="J224" s="167"/>
      <c r="K224" s="167"/>
      <c r="L224" s="168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09" t="e">
        <f>'TANK HARDWARE'!#REF!</f>
        <v>#REF!</v>
      </c>
      <c r="D225" s="162"/>
      <c r="E225" s="163"/>
      <c r="F225" s="208" t="e">
        <f>'TANK HARDWARE'!H321+P225</f>
        <v>#REF!</v>
      </c>
      <c r="G225" s="167"/>
      <c r="H225" s="167"/>
      <c r="I225" s="167"/>
      <c r="J225" s="167"/>
      <c r="K225" s="167"/>
      <c r="L225" s="168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09" t="e">
        <f>'TANK HARDWARE'!#REF!</f>
        <v>#REF!</v>
      </c>
      <c r="D226" s="162"/>
      <c r="E226" s="163"/>
      <c r="F226" s="208" t="e">
        <f>'TANK HARDWARE'!H322+P226</f>
        <v>#REF!</v>
      </c>
      <c r="G226" s="167"/>
      <c r="H226" s="167"/>
      <c r="I226" s="167"/>
      <c r="J226" s="167"/>
      <c r="K226" s="167"/>
      <c r="L226" s="168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09" t="e">
        <f>'TANK HARDWARE'!#REF!</f>
        <v>#REF!</v>
      </c>
      <c r="D227" s="162"/>
      <c r="E227" s="163"/>
      <c r="F227" s="208" t="e">
        <f>'TANK HARDWARE'!H323+P227</f>
        <v>#REF!</v>
      </c>
      <c r="G227" s="167"/>
      <c r="H227" s="167"/>
      <c r="I227" s="167"/>
      <c r="J227" s="167"/>
      <c r="K227" s="167"/>
      <c r="L227" s="168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09" t="e">
        <f>'TANK HARDWARE'!#REF!</f>
        <v>#REF!</v>
      </c>
      <c r="D228" s="162"/>
      <c r="E228" s="163"/>
      <c r="F228" s="208" t="e">
        <f>'TANK HARDWARE'!H324+P228</f>
        <v>#REF!</v>
      </c>
      <c r="G228" s="167"/>
      <c r="H228" s="167"/>
      <c r="I228" s="167"/>
      <c r="J228" s="167"/>
      <c r="K228" s="167"/>
      <c r="L228" s="168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09" t="e">
        <f>'TANK HARDWARE'!#REF!</f>
        <v>#REF!</v>
      </c>
      <c r="D229" s="162"/>
      <c r="E229" s="163"/>
      <c r="F229" s="208" t="e">
        <f>'TANK HARDWARE'!H325+P229</f>
        <v>#REF!</v>
      </c>
      <c r="G229" s="167"/>
      <c r="H229" s="167"/>
      <c r="I229" s="167"/>
      <c r="J229" s="167"/>
      <c r="K229" s="167"/>
      <c r="L229" s="168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09" t="e">
        <f>'TANK HARDWARE'!#REF!</f>
        <v>#REF!</v>
      </c>
      <c r="D230" s="162"/>
      <c r="E230" s="163"/>
      <c r="F230" s="208" t="e">
        <f>'TANK HARDWARE'!H326+P230</f>
        <v>#REF!</v>
      </c>
      <c r="G230" s="167"/>
      <c r="H230" s="167"/>
      <c r="I230" s="167"/>
      <c r="J230" s="167"/>
      <c r="K230" s="167"/>
      <c r="L230" s="168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09" t="e">
        <f>'TANK HARDWARE'!#REF!</f>
        <v>#REF!</v>
      </c>
      <c r="D231" s="162"/>
      <c r="E231" s="163"/>
      <c r="F231" s="208" t="e">
        <f>'TANK HARDWARE'!H327+P231</f>
        <v>#REF!</v>
      </c>
      <c r="G231" s="167"/>
      <c r="H231" s="167"/>
      <c r="I231" s="167"/>
      <c r="J231" s="167"/>
      <c r="K231" s="167"/>
      <c r="L231" s="168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09" t="e">
        <f>'TANK HARDWARE'!#REF!</f>
        <v>#REF!</v>
      </c>
      <c r="D232" s="162"/>
      <c r="E232" s="163"/>
      <c r="F232" s="208" t="e">
        <f>'TANK HARDWARE'!H328+P232</f>
        <v>#REF!</v>
      </c>
      <c r="G232" s="167"/>
      <c r="H232" s="167"/>
      <c r="I232" s="167"/>
      <c r="J232" s="167"/>
      <c r="K232" s="167"/>
      <c r="L232" s="168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09" t="e">
        <f>'TANK HARDWARE'!#REF!</f>
        <v>#REF!</v>
      </c>
      <c r="D233" s="162"/>
      <c r="E233" s="163"/>
      <c r="F233" s="208" t="e">
        <f>'TANK HARDWARE'!H329+P233</f>
        <v>#REF!</v>
      </c>
      <c r="G233" s="167"/>
      <c r="H233" s="167"/>
      <c r="I233" s="167"/>
      <c r="J233" s="167"/>
      <c r="K233" s="167"/>
      <c r="L233" s="168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09" t="e">
        <f>'TANK HARDWARE'!#REF!</f>
        <v>#REF!</v>
      </c>
      <c r="D234" s="162"/>
      <c r="E234" s="163"/>
      <c r="F234" s="208" t="e">
        <f>'TANK HARDWARE'!H330+P234</f>
        <v>#REF!</v>
      </c>
      <c r="G234" s="167"/>
      <c r="H234" s="167"/>
      <c r="I234" s="167"/>
      <c r="J234" s="167"/>
      <c r="K234" s="167"/>
      <c r="L234" s="168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09" t="e">
        <f>'TANK HARDWARE'!#REF!</f>
        <v>#REF!</v>
      </c>
      <c r="D235" s="162"/>
      <c r="E235" s="163"/>
      <c r="F235" s="208" t="e">
        <f>'TANK HARDWARE'!H331+P235</f>
        <v>#REF!</v>
      </c>
      <c r="G235" s="167"/>
      <c r="H235" s="167"/>
      <c r="I235" s="167"/>
      <c r="J235" s="167"/>
      <c r="K235" s="167"/>
      <c r="L235" s="168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09" t="e">
        <f>'TANK HARDWARE'!#REF!</f>
        <v>#REF!</v>
      </c>
      <c r="D236" s="162"/>
      <c r="E236" s="163"/>
      <c r="F236" s="208" t="e">
        <f>'TANK HARDWARE'!H332+P236</f>
        <v>#REF!</v>
      </c>
      <c r="G236" s="167"/>
      <c r="H236" s="167"/>
      <c r="I236" s="167"/>
      <c r="J236" s="167"/>
      <c r="K236" s="167"/>
      <c r="L236" s="168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09" t="e">
        <f>'TANK HARDWARE'!#REF!</f>
        <v>#REF!</v>
      </c>
      <c r="D237" s="162"/>
      <c r="E237" s="163"/>
      <c r="F237" s="208" t="e">
        <f>'TANK HARDWARE'!H333+P237</f>
        <v>#REF!</v>
      </c>
      <c r="G237" s="167"/>
      <c r="H237" s="167"/>
      <c r="I237" s="167"/>
      <c r="J237" s="167"/>
      <c r="K237" s="167"/>
      <c r="L237" s="168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09" t="e">
        <f>'TANK HARDWARE'!#REF!</f>
        <v>#REF!</v>
      </c>
      <c r="D238" s="162"/>
      <c r="E238" s="163"/>
      <c r="F238" s="208" t="e">
        <f>'TANK HARDWARE'!H334+P238</f>
        <v>#REF!</v>
      </c>
      <c r="G238" s="167"/>
      <c r="H238" s="167"/>
      <c r="I238" s="167"/>
      <c r="J238" s="167"/>
      <c r="K238" s="167"/>
      <c r="L238" s="168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09" t="e">
        <f>'TANK HARDWARE'!#REF!</f>
        <v>#REF!</v>
      </c>
      <c r="D239" s="162"/>
      <c r="E239" s="163"/>
      <c r="F239" s="208" t="e">
        <f>'TANK HARDWARE'!H335+P239</f>
        <v>#REF!</v>
      </c>
      <c r="G239" s="167"/>
      <c r="H239" s="167"/>
      <c r="I239" s="167"/>
      <c r="J239" s="167"/>
      <c r="K239" s="167"/>
      <c r="L239" s="168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09" t="e">
        <f>'TANK HARDWARE'!#REF!</f>
        <v>#REF!</v>
      </c>
      <c r="D240" s="162"/>
      <c r="E240" s="163"/>
      <c r="F240" s="208" t="e">
        <f>'TANK HARDWARE'!H336+P240</f>
        <v>#REF!</v>
      </c>
      <c r="G240" s="167"/>
      <c r="H240" s="167"/>
      <c r="I240" s="167"/>
      <c r="J240" s="167"/>
      <c r="K240" s="167"/>
      <c r="L240" s="168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09" t="e">
        <f>'TANK HARDWARE'!#REF!</f>
        <v>#REF!</v>
      </c>
      <c r="D241" s="162"/>
      <c r="E241" s="163"/>
      <c r="F241" s="208" t="e">
        <f>'TANK HARDWARE'!H337+P241</f>
        <v>#REF!</v>
      </c>
      <c r="G241" s="167"/>
      <c r="H241" s="167"/>
      <c r="I241" s="167"/>
      <c r="J241" s="167"/>
      <c r="K241" s="167"/>
      <c r="L241" s="168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09" t="e">
        <f>'TANK HARDWARE'!#REF!</f>
        <v>#REF!</v>
      </c>
      <c r="D242" s="162"/>
      <c r="E242" s="163"/>
      <c r="F242" s="208" t="e">
        <f>'TANK HARDWARE'!H338+P242</f>
        <v>#REF!</v>
      </c>
      <c r="G242" s="167"/>
      <c r="H242" s="167"/>
      <c r="I242" s="167"/>
      <c r="J242" s="167"/>
      <c r="K242" s="167"/>
      <c r="L242" s="168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09" t="e">
        <f>'TANK HARDWARE'!#REF!</f>
        <v>#REF!</v>
      </c>
      <c r="D243" s="162"/>
      <c r="E243" s="163"/>
      <c r="F243" s="208" t="e">
        <f>'TANK HARDWARE'!H339+P243</f>
        <v>#REF!</v>
      </c>
      <c r="G243" s="167"/>
      <c r="H243" s="167"/>
      <c r="I243" s="167"/>
      <c r="J243" s="167"/>
      <c r="K243" s="167"/>
      <c r="L243" s="168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09" t="e">
        <f>'TANK HARDWARE'!#REF!</f>
        <v>#REF!</v>
      </c>
      <c r="D244" s="162"/>
      <c r="E244" s="163"/>
      <c r="F244" s="208" t="e">
        <f>'TANK HARDWARE'!H340+P244</f>
        <v>#REF!</v>
      </c>
      <c r="G244" s="167"/>
      <c r="H244" s="167"/>
      <c r="I244" s="167"/>
      <c r="J244" s="167"/>
      <c r="K244" s="167"/>
      <c r="L244" s="168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09" t="e">
        <f>'TANK HARDWARE'!#REF!</f>
        <v>#REF!</v>
      </c>
      <c r="D245" s="162"/>
      <c r="E245" s="163"/>
      <c r="F245" s="208" t="e">
        <f>'TANK HARDWARE'!H341+P245</f>
        <v>#REF!</v>
      </c>
      <c r="G245" s="167"/>
      <c r="H245" s="167"/>
      <c r="I245" s="167"/>
      <c r="J245" s="167"/>
      <c r="K245" s="167"/>
      <c r="L245" s="168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09" t="e">
        <f>'TANK HARDWARE'!#REF!</f>
        <v>#REF!</v>
      </c>
      <c r="D246" s="162"/>
      <c r="E246" s="163"/>
      <c r="F246" s="208" t="e">
        <f>'TANK HARDWARE'!H342+P246</f>
        <v>#REF!</v>
      </c>
      <c r="G246" s="167"/>
      <c r="H246" s="167"/>
      <c r="I246" s="167"/>
      <c r="J246" s="167"/>
      <c r="K246" s="167"/>
      <c r="L246" s="168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09" t="e">
        <f>'TANK HARDWARE'!#REF!</f>
        <v>#REF!</v>
      </c>
      <c r="D247" s="162"/>
      <c r="E247" s="163"/>
      <c r="F247" s="208" t="e">
        <f>'TANK HARDWARE'!H343+P247</f>
        <v>#REF!</v>
      </c>
      <c r="G247" s="167"/>
      <c r="H247" s="167"/>
      <c r="I247" s="167"/>
      <c r="J247" s="167"/>
      <c r="K247" s="167"/>
      <c r="L247" s="168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09" t="e">
        <f>'TANK HARDWARE'!#REF!</f>
        <v>#REF!</v>
      </c>
      <c r="D248" s="162"/>
      <c r="E248" s="163"/>
      <c r="F248" s="208" t="e">
        <f>'TANK HARDWARE'!H344+P248</f>
        <v>#REF!</v>
      </c>
      <c r="G248" s="167"/>
      <c r="H248" s="167"/>
      <c r="I248" s="167"/>
      <c r="J248" s="167"/>
      <c r="K248" s="167"/>
      <c r="L248" s="168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09" t="e">
        <f>'TANK HARDWARE'!#REF!</f>
        <v>#REF!</v>
      </c>
      <c r="D249" s="162"/>
      <c r="E249" s="163"/>
      <c r="F249" s="208" t="e">
        <f>'TANK HARDWARE'!H345+P249</f>
        <v>#REF!</v>
      </c>
      <c r="G249" s="167"/>
      <c r="H249" s="167"/>
      <c r="I249" s="167"/>
      <c r="J249" s="167"/>
      <c r="K249" s="167"/>
      <c r="L249" s="168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09" t="e">
        <f>'TANK HARDWARE'!#REF!</f>
        <v>#REF!</v>
      </c>
      <c r="D250" s="162"/>
      <c r="E250" s="163"/>
      <c r="F250" s="208" t="e">
        <f>'TANK HARDWARE'!H346+P250</f>
        <v>#REF!</v>
      </c>
      <c r="G250" s="167"/>
      <c r="H250" s="167"/>
      <c r="I250" s="167"/>
      <c r="J250" s="167"/>
      <c r="K250" s="167"/>
      <c r="L250" s="168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09" t="e">
        <f>'TANK HARDWARE'!#REF!</f>
        <v>#REF!</v>
      </c>
      <c r="D251" s="162"/>
      <c r="E251" s="163"/>
      <c r="F251" s="208" t="e">
        <f>'TANK HARDWARE'!H347+P251</f>
        <v>#REF!</v>
      </c>
      <c r="G251" s="167"/>
      <c r="H251" s="167"/>
      <c r="I251" s="167"/>
      <c r="J251" s="167"/>
      <c r="K251" s="167"/>
      <c r="L251" s="168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09" t="e">
        <f>'TANK HARDWARE'!#REF!</f>
        <v>#REF!</v>
      </c>
      <c r="D252" s="162"/>
      <c r="E252" s="163"/>
      <c r="F252" s="208" t="e">
        <f>'TANK HARDWARE'!H348+P252</f>
        <v>#REF!</v>
      </c>
      <c r="G252" s="167"/>
      <c r="H252" s="167"/>
      <c r="I252" s="167"/>
      <c r="J252" s="167"/>
      <c r="K252" s="167"/>
      <c r="L252" s="168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09" t="e">
        <f>'TANK HARDWARE'!#REF!</f>
        <v>#REF!</v>
      </c>
      <c r="D253" s="162"/>
      <c r="E253" s="163"/>
      <c r="F253" s="208" t="e">
        <f>'TANK HARDWARE'!H349+P253</f>
        <v>#REF!</v>
      </c>
      <c r="G253" s="167"/>
      <c r="H253" s="167"/>
      <c r="I253" s="167"/>
      <c r="J253" s="167"/>
      <c r="K253" s="167"/>
      <c r="L253" s="168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09" t="e">
        <f>'TANK HARDWARE'!#REF!</f>
        <v>#REF!</v>
      </c>
      <c r="D254" s="162"/>
      <c r="E254" s="163"/>
      <c r="F254" s="208" t="e">
        <f>'TANK HARDWARE'!H350+P254</f>
        <v>#REF!</v>
      </c>
      <c r="G254" s="167"/>
      <c r="H254" s="167"/>
      <c r="I254" s="167"/>
      <c r="J254" s="167"/>
      <c r="K254" s="167"/>
      <c r="L254" s="168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09" t="e">
        <f>'TANK HARDWARE'!#REF!</f>
        <v>#REF!</v>
      </c>
      <c r="D255" s="162"/>
      <c r="E255" s="163"/>
      <c r="F255" s="208" t="e">
        <f>'TANK HARDWARE'!H351+P255</f>
        <v>#REF!</v>
      </c>
      <c r="G255" s="167"/>
      <c r="H255" s="167"/>
      <c r="I255" s="167"/>
      <c r="J255" s="167"/>
      <c r="K255" s="167"/>
      <c r="L255" s="168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09" t="e">
        <f>'TANK HARDWARE'!#REF!</f>
        <v>#REF!</v>
      </c>
      <c r="D256" s="162"/>
      <c r="E256" s="163"/>
      <c r="F256" s="208" t="e">
        <f>'TANK HARDWARE'!H352+P256</f>
        <v>#REF!</v>
      </c>
      <c r="G256" s="167"/>
      <c r="H256" s="167"/>
      <c r="I256" s="167"/>
      <c r="J256" s="167"/>
      <c r="K256" s="167"/>
      <c r="L256" s="168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09" t="e">
        <f>'TANK HARDWARE'!#REF!</f>
        <v>#REF!</v>
      </c>
      <c r="D257" s="162"/>
      <c r="E257" s="163"/>
      <c r="F257" s="208" t="e">
        <f>'TANK HARDWARE'!H353+P257</f>
        <v>#REF!</v>
      </c>
      <c r="G257" s="167"/>
      <c r="H257" s="167"/>
      <c r="I257" s="167"/>
      <c r="J257" s="167"/>
      <c r="K257" s="167"/>
      <c r="L257" s="168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09" t="e">
        <f>'TANK HARDWARE'!#REF!</f>
        <v>#REF!</v>
      </c>
      <c r="D258" s="162"/>
      <c r="E258" s="163"/>
      <c r="F258" s="208" t="e">
        <f>'TANK HARDWARE'!H354+P258</f>
        <v>#REF!</v>
      </c>
      <c r="G258" s="167"/>
      <c r="H258" s="167"/>
      <c r="I258" s="167"/>
      <c r="J258" s="167"/>
      <c r="K258" s="167"/>
      <c r="L258" s="168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09" t="e">
        <f>'TANK HARDWARE'!#REF!</f>
        <v>#REF!</v>
      </c>
      <c r="D259" s="162"/>
      <c r="E259" s="163"/>
      <c r="F259" s="208" t="e">
        <f>'TANK HARDWARE'!H355+P259</f>
        <v>#REF!</v>
      </c>
      <c r="G259" s="167"/>
      <c r="H259" s="167"/>
      <c r="I259" s="167"/>
      <c r="J259" s="167"/>
      <c r="K259" s="167"/>
      <c r="L259" s="168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09" t="e">
        <f>'TANK HARDWARE'!#REF!</f>
        <v>#REF!</v>
      </c>
      <c r="D260" s="162"/>
      <c r="E260" s="163"/>
      <c r="F260" s="208" t="e">
        <f>'TANK HARDWARE'!H356+P260</f>
        <v>#REF!</v>
      </c>
      <c r="G260" s="167"/>
      <c r="H260" s="167"/>
      <c r="I260" s="167"/>
      <c r="J260" s="167"/>
      <c r="K260" s="167"/>
      <c r="L260" s="168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09" t="e">
        <f>'TANK HARDWARE'!#REF!</f>
        <v>#REF!</v>
      </c>
      <c r="D261" s="162"/>
      <c r="E261" s="163"/>
      <c r="F261" s="208" t="e">
        <f>'TANK HARDWARE'!H357+P261</f>
        <v>#REF!</v>
      </c>
      <c r="G261" s="167"/>
      <c r="H261" s="167"/>
      <c r="I261" s="167"/>
      <c r="J261" s="167"/>
      <c r="K261" s="167"/>
      <c r="L261" s="168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09" t="e">
        <f>'TANK HARDWARE'!#REF!</f>
        <v>#REF!</v>
      </c>
      <c r="D262" s="162"/>
      <c r="E262" s="163"/>
      <c r="F262" s="208" t="e">
        <f>'TANK HARDWARE'!H358+P262</f>
        <v>#REF!</v>
      </c>
      <c r="G262" s="167"/>
      <c r="H262" s="167"/>
      <c r="I262" s="167"/>
      <c r="J262" s="167"/>
      <c r="K262" s="167"/>
      <c r="L262" s="168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09" t="e">
        <f>'TANK HARDWARE'!#REF!</f>
        <v>#REF!</v>
      </c>
      <c r="D263" s="162"/>
      <c r="E263" s="163"/>
      <c r="F263" s="208" t="e">
        <f>'TANK HARDWARE'!H359+P263</f>
        <v>#REF!</v>
      </c>
      <c r="G263" s="167"/>
      <c r="H263" s="167"/>
      <c r="I263" s="167"/>
      <c r="J263" s="167"/>
      <c r="K263" s="167"/>
      <c r="L263" s="168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09" t="e">
        <f>'TANK HARDWARE'!#REF!</f>
        <v>#REF!</v>
      </c>
      <c r="D264" s="162"/>
      <c r="E264" s="163"/>
      <c r="F264" s="208" t="e">
        <f>'TANK HARDWARE'!H360+P264</f>
        <v>#REF!</v>
      </c>
      <c r="G264" s="167"/>
      <c r="H264" s="167"/>
      <c r="I264" s="167"/>
      <c r="J264" s="167"/>
      <c r="K264" s="167"/>
      <c r="L264" s="168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09" t="e">
        <f>'TANK HARDWARE'!#REF!</f>
        <v>#REF!</v>
      </c>
      <c r="D265" s="162"/>
      <c r="E265" s="163"/>
      <c r="F265" s="208" t="e">
        <f>'TANK HARDWARE'!H361+P265</f>
        <v>#REF!</v>
      </c>
      <c r="G265" s="167"/>
      <c r="H265" s="167"/>
      <c r="I265" s="167"/>
      <c r="J265" s="167"/>
      <c r="K265" s="167"/>
      <c r="L265" s="168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09" t="e">
        <f>'TANK HARDWARE'!#REF!</f>
        <v>#REF!</v>
      </c>
      <c r="D266" s="162"/>
      <c r="E266" s="163"/>
      <c r="F266" s="208" t="e">
        <f>'TANK HARDWARE'!H362+P266</f>
        <v>#REF!</v>
      </c>
      <c r="G266" s="167"/>
      <c r="H266" s="167"/>
      <c r="I266" s="167"/>
      <c r="J266" s="167"/>
      <c r="K266" s="167"/>
      <c r="L266" s="168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09" t="e">
        <f>'TANK HARDWARE'!#REF!</f>
        <v>#REF!</v>
      </c>
      <c r="D267" s="162"/>
      <c r="E267" s="163"/>
      <c r="F267" s="208" t="e">
        <f>'TANK HARDWARE'!H363+P267</f>
        <v>#REF!</v>
      </c>
      <c r="G267" s="167"/>
      <c r="H267" s="167"/>
      <c r="I267" s="167"/>
      <c r="J267" s="167"/>
      <c r="K267" s="167"/>
      <c r="L267" s="168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09" t="e">
        <f>'TANK HARDWARE'!#REF!</f>
        <v>#REF!</v>
      </c>
      <c r="D268" s="162"/>
      <c r="E268" s="163"/>
      <c r="F268" s="208" t="e">
        <f>'TANK HARDWARE'!H364+P268</f>
        <v>#REF!</v>
      </c>
      <c r="G268" s="167"/>
      <c r="H268" s="167"/>
      <c r="I268" s="167"/>
      <c r="J268" s="167"/>
      <c r="K268" s="167"/>
      <c r="L268" s="168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09" t="e">
        <f>'TANK HARDWARE'!#REF!</f>
        <v>#REF!</v>
      </c>
      <c r="D269" s="162"/>
      <c r="E269" s="163"/>
      <c r="F269" s="208" t="e">
        <f>'TANK HARDWARE'!H365+P269</f>
        <v>#REF!</v>
      </c>
      <c r="G269" s="167"/>
      <c r="H269" s="167"/>
      <c r="I269" s="167"/>
      <c r="J269" s="167"/>
      <c r="K269" s="167"/>
      <c r="L269" s="168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09" t="e">
        <f>'TANK HARDWARE'!#REF!</f>
        <v>#REF!</v>
      </c>
      <c r="D270" s="162"/>
      <c r="E270" s="163"/>
      <c r="F270" s="208" t="e">
        <f>'TANK HARDWARE'!H366+P270</f>
        <v>#REF!</v>
      </c>
      <c r="G270" s="167"/>
      <c r="H270" s="167"/>
      <c r="I270" s="167"/>
      <c r="J270" s="167"/>
      <c r="K270" s="167"/>
      <c r="L270" s="168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09" t="e">
        <f>'TANK HARDWARE'!#REF!</f>
        <v>#REF!</v>
      </c>
      <c r="D271" s="162"/>
      <c r="E271" s="163"/>
      <c r="F271" s="208" t="e">
        <f>'TANK HARDWARE'!H367+P271</f>
        <v>#REF!</v>
      </c>
      <c r="G271" s="167"/>
      <c r="H271" s="167"/>
      <c r="I271" s="167"/>
      <c r="J271" s="167"/>
      <c r="K271" s="167"/>
      <c r="L271" s="168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09" t="e">
        <f>'TANK HARDWARE'!#REF!</f>
        <v>#REF!</v>
      </c>
      <c r="D272" s="162"/>
      <c r="E272" s="163"/>
      <c r="F272" s="208" t="e">
        <f>'TANK HARDWARE'!H368+P272</f>
        <v>#REF!</v>
      </c>
      <c r="G272" s="167"/>
      <c r="H272" s="167"/>
      <c r="I272" s="167"/>
      <c r="J272" s="167"/>
      <c r="K272" s="167"/>
      <c r="L272" s="168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09" t="e">
        <f>'TANK HARDWARE'!#REF!</f>
        <v>#REF!</v>
      </c>
      <c r="D273" s="162"/>
      <c r="E273" s="163"/>
      <c r="F273" s="208" t="e">
        <f>'TANK HARDWARE'!H369+P273</f>
        <v>#REF!</v>
      </c>
      <c r="G273" s="167"/>
      <c r="H273" s="167"/>
      <c r="I273" s="167"/>
      <c r="J273" s="167"/>
      <c r="K273" s="167"/>
      <c r="L273" s="168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09" t="e">
        <f>'TANK HARDWARE'!#REF!</f>
        <v>#REF!</v>
      </c>
      <c r="D274" s="162"/>
      <c r="E274" s="163"/>
      <c r="F274" s="208" t="e">
        <f>'TANK HARDWARE'!H370+P274</f>
        <v>#REF!</v>
      </c>
      <c r="G274" s="167"/>
      <c r="H274" s="167"/>
      <c r="I274" s="167"/>
      <c r="J274" s="167"/>
      <c r="K274" s="167"/>
      <c r="L274" s="168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09" t="e">
        <f>'TANK HARDWARE'!#REF!</f>
        <v>#REF!</v>
      </c>
      <c r="D275" s="162"/>
      <c r="E275" s="163"/>
      <c r="F275" s="208" t="e">
        <f>'TANK HARDWARE'!H371+P275</f>
        <v>#REF!</v>
      </c>
      <c r="G275" s="167"/>
      <c r="H275" s="167"/>
      <c r="I275" s="167"/>
      <c r="J275" s="167"/>
      <c r="K275" s="167"/>
      <c r="L275" s="168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09" t="e">
        <f>'TANK HARDWARE'!#REF!</f>
        <v>#REF!</v>
      </c>
      <c r="D276" s="162"/>
      <c r="E276" s="163"/>
      <c r="F276" s="208" t="e">
        <f>'TANK HARDWARE'!H372+P276</f>
        <v>#REF!</v>
      </c>
      <c r="G276" s="167"/>
      <c r="H276" s="167"/>
      <c r="I276" s="167"/>
      <c r="J276" s="167"/>
      <c r="K276" s="167"/>
      <c r="L276" s="168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09" t="e">
        <f>'TANK HARDWARE'!#REF!</f>
        <v>#REF!</v>
      </c>
      <c r="D277" s="162"/>
      <c r="E277" s="163"/>
      <c r="F277" s="208" t="e">
        <f>'TANK HARDWARE'!H373+P277</f>
        <v>#REF!</v>
      </c>
      <c r="G277" s="167"/>
      <c r="H277" s="167"/>
      <c r="I277" s="167"/>
      <c r="J277" s="167"/>
      <c r="K277" s="167"/>
      <c r="L277" s="168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09" t="e">
        <f>'TANK HARDWARE'!#REF!</f>
        <v>#REF!</v>
      </c>
      <c r="D278" s="162"/>
      <c r="E278" s="163"/>
      <c r="F278" s="208" t="e">
        <f>'TANK HARDWARE'!H374+P278</f>
        <v>#REF!</v>
      </c>
      <c r="G278" s="167"/>
      <c r="H278" s="167"/>
      <c r="I278" s="167"/>
      <c r="J278" s="167"/>
      <c r="K278" s="167"/>
      <c r="L278" s="168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09" t="e">
        <f>'TANK HARDWARE'!#REF!</f>
        <v>#REF!</v>
      </c>
      <c r="D279" s="162"/>
      <c r="E279" s="163"/>
      <c r="F279" s="208" t="e">
        <f>'TANK HARDWARE'!H375+P279</f>
        <v>#REF!</v>
      </c>
      <c r="G279" s="167"/>
      <c r="H279" s="167"/>
      <c r="I279" s="167"/>
      <c r="J279" s="167"/>
      <c r="K279" s="167"/>
      <c r="L279" s="168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09" t="e">
        <f>'TANK HARDWARE'!#REF!</f>
        <v>#REF!</v>
      </c>
      <c r="D280" s="162"/>
      <c r="E280" s="163"/>
      <c r="F280" s="208" t="e">
        <f>'TANK HARDWARE'!H376+P280</f>
        <v>#REF!</v>
      </c>
      <c r="G280" s="167"/>
      <c r="H280" s="167"/>
      <c r="I280" s="167"/>
      <c r="J280" s="167"/>
      <c r="K280" s="167"/>
      <c r="L280" s="168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09" t="e">
        <f>'TANK HARDWARE'!#REF!</f>
        <v>#REF!</v>
      </c>
      <c r="D281" s="162"/>
      <c r="E281" s="163"/>
      <c r="F281" s="208" t="e">
        <f>'TANK HARDWARE'!H377+P281</f>
        <v>#REF!</v>
      </c>
      <c r="G281" s="167"/>
      <c r="H281" s="167"/>
      <c r="I281" s="167"/>
      <c r="J281" s="167"/>
      <c r="K281" s="167"/>
      <c r="L281" s="168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09" t="e">
        <f>'TANK HARDWARE'!#REF!</f>
        <v>#REF!</v>
      </c>
      <c r="D282" s="162"/>
      <c r="E282" s="163"/>
      <c r="F282" s="208" t="e">
        <f>'TANK HARDWARE'!H378+P282</f>
        <v>#REF!</v>
      </c>
      <c r="G282" s="167"/>
      <c r="H282" s="167"/>
      <c r="I282" s="167"/>
      <c r="J282" s="167"/>
      <c r="K282" s="167"/>
      <c r="L282" s="168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09" t="e">
        <f>'TANK HARDWARE'!#REF!</f>
        <v>#REF!</v>
      </c>
      <c r="D283" s="162"/>
      <c r="E283" s="163"/>
      <c r="F283" s="208" t="e">
        <f>'TANK HARDWARE'!H379+P283</f>
        <v>#REF!</v>
      </c>
      <c r="G283" s="167"/>
      <c r="H283" s="167"/>
      <c r="I283" s="167"/>
      <c r="J283" s="167"/>
      <c r="K283" s="167"/>
      <c r="L283" s="168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09" t="e">
        <f>'TANK HARDWARE'!#REF!</f>
        <v>#REF!</v>
      </c>
      <c r="D284" s="162"/>
      <c r="E284" s="163"/>
      <c r="F284" s="208" t="e">
        <f>'TANK HARDWARE'!H380+P284</f>
        <v>#REF!</v>
      </c>
      <c r="G284" s="167"/>
      <c r="H284" s="167"/>
      <c r="I284" s="167"/>
      <c r="J284" s="167"/>
      <c r="K284" s="167"/>
      <c r="L284" s="168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09" t="e">
        <f>'TANK HARDWARE'!#REF!</f>
        <v>#REF!</v>
      </c>
      <c r="D285" s="162"/>
      <c r="E285" s="163"/>
      <c r="F285" s="208" t="e">
        <f>'TANK HARDWARE'!H381+P285</f>
        <v>#REF!</v>
      </c>
      <c r="G285" s="167"/>
      <c r="H285" s="167"/>
      <c r="I285" s="167"/>
      <c r="J285" s="167"/>
      <c r="K285" s="167"/>
      <c r="L285" s="168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09" t="e">
        <f>'TANK HARDWARE'!#REF!</f>
        <v>#REF!</v>
      </c>
      <c r="D286" s="162"/>
      <c r="E286" s="163"/>
      <c r="F286" s="208" t="e">
        <f>'TANK HARDWARE'!H382+P286</f>
        <v>#REF!</v>
      </c>
      <c r="G286" s="167"/>
      <c r="H286" s="167"/>
      <c r="I286" s="167"/>
      <c r="J286" s="167"/>
      <c r="K286" s="167"/>
      <c r="L286" s="168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09" t="e">
        <f>'TANK HARDWARE'!#REF!</f>
        <v>#REF!</v>
      </c>
      <c r="D287" s="162"/>
      <c r="E287" s="163"/>
      <c r="F287" s="208" t="e">
        <f>'TANK HARDWARE'!H383+P287</f>
        <v>#REF!</v>
      </c>
      <c r="G287" s="167"/>
      <c r="H287" s="167"/>
      <c r="I287" s="167"/>
      <c r="J287" s="167"/>
      <c r="K287" s="167"/>
      <c r="L287" s="168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09" t="e">
        <f>'TANK HARDWARE'!#REF!</f>
        <v>#REF!</v>
      </c>
      <c r="D288" s="162"/>
      <c r="E288" s="163"/>
      <c r="F288" s="208" t="e">
        <f>'TANK HARDWARE'!H384+P288</f>
        <v>#REF!</v>
      </c>
      <c r="G288" s="167"/>
      <c r="H288" s="167"/>
      <c r="I288" s="167"/>
      <c r="J288" s="167"/>
      <c r="K288" s="167"/>
      <c r="L288" s="168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09" t="e">
        <f>'TANK HARDWARE'!#REF!</f>
        <v>#REF!</v>
      </c>
      <c r="D289" s="162"/>
      <c r="E289" s="163"/>
      <c r="F289" s="208" t="e">
        <f>'TANK HARDWARE'!H385+P289</f>
        <v>#REF!</v>
      </c>
      <c r="G289" s="167"/>
      <c r="H289" s="167"/>
      <c r="I289" s="167"/>
      <c r="J289" s="167"/>
      <c r="K289" s="167"/>
      <c r="L289" s="168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09" t="e">
        <f>'TANK HARDWARE'!#REF!</f>
        <v>#REF!</v>
      </c>
      <c r="D290" s="162"/>
      <c r="E290" s="163"/>
      <c r="F290" s="208" t="e">
        <f>'TANK HARDWARE'!H386+P290</f>
        <v>#REF!</v>
      </c>
      <c r="G290" s="167"/>
      <c r="H290" s="167"/>
      <c r="I290" s="167"/>
      <c r="J290" s="167"/>
      <c r="K290" s="167"/>
      <c r="L290" s="168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09" t="e">
        <f>'TANK HARDWARE'!#REF!</f>
        <v>#REF!</v>
      </c>
      <c r="D291" s="162"/>
      <c r="E291" s="163"/>
      <c r="F291" s="208" t="e">
        <f>'TANK HARDWARE'!H387+P291</f>
        <v>#REF!</v>
      </c>
      <c r="G291" s="167"/>
      <c r="H291" s="167"/>
      <c r="I291" s="167"/>
      <c r="J291" s="167"/>
      <c r="K291" s="167"/>
      <c r="L291" s="168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09" t="e">
        <f>'TANK HARDWARE'!#REF!</f>
        <v>#REF!</v>
      </c>
      <c r="D292" s="162"/>
      <c r="E292" s="163"/>
      <c r="F292" s="208" t="e">
        <f>'TANK HARDWARE'!H388+P292</f>
        <v>#REF!</v>
      </c>
      <c r="G292" s="167"/>
      <c r="H292" s="167"/>
      <c r="I292" s="167"/>
      <c r="J292" s="167"/>
      <c r="K292" s="167"/>
      <c r="L292" s="168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09" t="e">
        <f>'TANK HARDWARE'!#REF!</f>
        <v>#REF!</v>
      </c>
      <c r="D293" s="162"/>
      <c r="E293" s="163"/>
      <c r="F293" s="208" t="e">
        <f>'TANK HARDWARE'!H389+P293</f>
        <v>#REF!</v>
      </c>
      <c r="G293" s="167"/>
      <c r="H293" s="167"/>
      <c r="I293" s="167"/>
      <c r="J293" s="167"/>
      <c r="K293" s="167"/>
      <c r="L293" s="168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09" t="e">
        <f>'TANK HARDWARE'!#REF!</f>
        <v>#REF!</v>
      </c>
      <c r="D294" s="162"/>
      <c r="E294" s="163"/>
      <c r="F294" s="208" t="e">
        <f>'TANK HARDWARE'!H390+P294</f>
        <v>#REF!</v>
      </c>
      <c r="G294" s="167"/>
      <c r="H294" s="167"/>
      <c r="I294" s="167"/>
      <c r="J294" s="167"/>
      <c r="K294" s="167"/>
      <c r="L294" s="168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09" t="e">
        <f>'TANK HARDWARE'!#REF!</f>
        <v>#REF!</v>
      </c>
      <c r="D295" s="162"/>
      <c r="E295" s="163"/>
      <c r="F295" s="208" t="e">
        <f>'TANK HARDWARE'!H391+P295</f>
        <v>#REF!</v>
      </c>
      <c r="G295" s="167"/>
      <c r="H295" s="167"/>
      <c r="I295" s="167"/>
      <c r="J295" s="167"/>
      <c r="K295" s="167"/>
      <c r="L295" s="168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09" t="e">
        <f>'TANK HARDWARE'!#REF!</f>
        <v>#REF!</v>
      </c>
      <c r="D296" s="162"/>
      <c r="E296" s="163"/>
      <c r="F296" s="208" t="e">
        <f>'TANK HARDWARE'!H392+P296</f>
        <v>#REF!</v>
      </c>
      <c r="G296" s="167"/>
      <c r="H296" s="167"/>
      <c r="I296" s="167"/>
      <c r="J296" s="167"/>
      <c r="K296" s="167"/>
      <c r="L296" s="168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09" t="e">
        <f>'TANK HARDWARE'!#REF!</f>
        <v>#REF!</v>
      </c>
      <c r="D297" s="162"/>
      <c r="E297" s="163"/>
      <c r="F297" s="208" t="e">
        <f>'TANK HARDWARE'!H393+P297</f>
        <v>#REF!</v>
      </c>
      <c r="G297" s="167"/>
      <c r="H297" s="167"/>
      <c r="I297" s="167"/>
      <c r="J297" s="167"/>
      <c r="K297" s="167"/>
      <c r="L297" s="168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09" t="e">
        <f>'TANK HARDWARE'!#REF!</f>
        <v>#REF!</v>
      </c>
      <c r="D298" s="162"/>
      <c r="E298" s="163"/>
      <c r="F298" s="208" t="e">
        <f>'TANK HARDWARE'!H394+P298</f>
        <v>#REF!</v>
      </c>
      <c r="G298" s="167"/>
      <c r="H298" s="167"/>
      <c r="I298" s="167"/>
      <c r="J298" s="167"/>
      <c r="K298" s="167"/>
      <c r="L298" s="168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09" t="e">
        <f>'TANK HARDWARE'!#REF!</f>
        <v>#REF!</v>
      </c>
      <c r="D299" s="162"/>
      <c r="E299" s="163"/>
      <c r="F299" s="208" t="e">
        <f>'TANK HARDWARE'!H395+P299</f>
        <v>#REF!</v>
      </c>
      <c r="G299" s="167"/>
      <c r="H299" s="167"/>
      <c r="I299" s="167"/>
      <c r="J299" s="167"/>
      <c r="K299" s="167"/>
      <c r="L299" s="168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09" t="e">
        <f>'TANK HARDWARE'!#REF!</f>
        <v>#REF!</v>
      </c>
      <c r="D300" s="162"/>
      <c r="E300" s="163"/>
      <c r="F300" s="208" t="e">
        <f>'TANK HARDWARE'!H396+P300</f>
        <v>#REF!</v>
      </c>
      <c r="G300" s="167"/>
      <c r="H300" s="167"/>
      <c r="I300" s="167"/>
      <c r="J300" s="167"/>
      <c r="K300" s="167"/>
      <c r="L300" s="168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09" t="e">
        <f>'TANK HARDWARE'!#REF!</f>
        <v>#REF!</v>
      </c>
      <c r="D301" s="162"/>
      <c r="E301" s="163"/>
      <c r="F301" s="208" t="e">
        <f>'TANK HARDWARE'!H397+P301</f>
        <v>#REF!</v>
      </c>
      <c r="G301" s="167"/>
      <c r="H301" s="167"/>
      <c r="I301" s="167"/>
      <c r="J301" s="167"/>
      <c r="K301" s="167"/>
      <c r="L301" s="168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09" t="e">
        <f>'TANK HARDWARE'!#REF!</f>
        <v>#REF!</v>
      </c>
      <c r="D302" s="162"/>
      <c r="E302" s="163"/>
      <c r="F302" s="208" t="e">
        <f>'TANK HARDWARE'!H398+P302</f>
        <v>#REF!</v>
      </c>
      <c r="G302" s="167"/>
      <c r="H302" s="167"/>
      <c r="I302" s="167"/>
      <c r="J302" s="167"/>
      <c r="K302" s="167"/>
      <c r="L302" s="168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09" t="e">
        <f>'TANK HARDWARE'!#REF!</f>
        <v>#REF!</v>
      </c>
      <c r="D303" s="162"/>
      <c r="E303" s="163"/>
      <c r="F303" s="208" t="e">
        <f>'TANK HARDWARE'!H399+P303</f>
        <v>#REF!</v>
      </c>
      <c r="G303" s="167"/>
      <c r="H303" s="167"/>
      <c r="I303" s="167"/>
      <c r="J303" s="167"/>
      <c r="K303" s="167"/>
      <c r="L303" s="168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09" t="e">
        <f>'TANK HARDWARE'!#REF!</f>
        <v>#REF!</v>
      </c>
      <c r="D304" s="162"/>
      <c r="E304" s="163"/>
      <c r="F304" s="208" t="e">
        <f>'TANK HARDWARE'!H400+P304</f>
        <v>#REF!</v>
      </c>
      <c r="G304" s="167"/>
      <c r="H304" s="167"/>
      <c r="I304" s="167"/>
      <c r="J304" s="167"/>
      <c r="K304" s="167"/>
      <c r="L304" s="168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09" t="e">
        <f>'TANK HARDWARE'!#REF!</f>
        <v>#REF!</v>
      </c>
      <c r="D305" s="162"/>
      <c r="E305" s="163"/>
      <c r="F305" s="208" t="e">
        <f>'TANK HARDWARE'!H401+P305</f>
        <v>#REF!</v>
      </c>
      <c r="G305" s="167"/>
      <c r="H305" s="167"/>
      <c r="I305" s="167"/>
      <c r="J305" s="167"/>
      <c r="K305" s="167"/>
      <c r="L305" s="168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09" t="e">
        <f>'TANK HARDWARE'!#REF!</f>
        <v>#REF!</v>
      </c>
      <c r="D306" s="162"/>
      <c r="E306" s="163"/>
      <c r="F306" s="208" t="e">
        <f>'TANK HARDWARE'!H402+P306</f>
        <v>#REF!</v>
      </c>
      <c r="G306" s="167"/>
      <c r="H306" s="167"/>
      <c r="I306" s="167"/>
      <c r="J306" s="167"/>
      <c r="K306" s="167"/>
      <c r="L306" s="168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09" t="e">
        <f>'TANK HARDWARE'!#REF!</f>
        <v>#REF!</v>
      </c>
      <c r="D307" s="162"/>
      <c r="E307" s="163"/>
      <c r="F307" s="208" t="e">
        <f>'TANK HARDWARE'!H403+P307</f>
        <v>#REF!</v>
      </c>
      <c r="G307" s="167"/>
      <c r="H307" s="167"/>
      <c r="I307" s="167"/>
      <c r="J307" s="167"/>
      <c r="K307" s="167"/>
      <c r="L307" s="168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09" t="e">
        <f>'TANK HARDWARE'!#REF!</f>
        <v>#REF!</v>
      </c>
      <c r="D308" s="162"/>
      <c r="E308" s="163"/>
      <c r="F308" s="208" t="e">
        <f>'TANK HARDWARE'!H404+P308</f>
        <v>#REF!</v>
      </c>
      <c r="G308" s="167"/>
      <c r="H308" s="167"/>
      <c r="I308" s="167"/>
      <c r="J308" s="167"/>
      <c r="K308" s="167"/>
      <c r="L308" s="168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09" t="e">
        <f>'TANK HARDWARE'!#REF!</f>
        <v>#REF!</v>
      </c>
      <c r="D309" s="162"/>
      <c r="E309" s="163"/>
      <c r="F309" s="208" t="e">
        <f>'TANK HARDWARE'!H405+P309</f>
        <v>#REF!</v>
      </c>
      <c r="G309" s="167"/>
      <c r="H309" s="167"/>
      <c r="I309" s="167"/>
      <c r="J309" s="167"/>
      <c r="K309" s="167"/>
      <c r="L309" s="168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09" t="e">
        <f>'TANK HARDWARE'!#REF!</f>
        <v>#REF!</v>
      </c>
      <c r="D310" s="162"/>
      <c r="E310" s="163"/>
      <c r="F310" s="208" t="e">
        <f>'TANK HARDWARE'!H406+P310</f>
        <v>#REF!</v>
      </c>
      <c r="G310" s="167"/>
      <c r="H310" s="167"/>
      <c r="I310" s="167"/>
      <c r="J310" s="167"/>
      <c r="K310" s="167"/>
      <c r="L310" s="168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09" t="e">
        <f>'TANK HARDWARE'!#REF!</f>
        <v>#REF!</v>
      </c>
      <c r="D311" s="162"/>
      <c r="E311" s="163"/>
      <c r="F311" s="208" t="e">
        <f>'TANK HARDWARE'!H407+P311</f>
        <v>#REF!</v>
      </c>
      <c r="G311" s="167"/>
      <c r="H311" s="167"/>
      <c r="I311" s="167"/>
      <c r="J311" s="167"/>
      <c r="K311" s="167"/>
      <c r="L311" s="168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09" t="e">
        <f>'TANK HARDWARE'!#REF!</f>
        <v>#REF!</v>
      </c>
      <c r="D312" s="162"/>
      <c r="E312" s="163"/>
      <c r="F312" s="208" t="e">
        <f>'TANK HARDWARE'!H408+P312</f>
        <v>#REF!</v>
      </c>
      <c r="G312" s="167"/>
      <c r="H312" s="167"/>
      <c r="I312" s="167"/>
      <c r="J312" s="167"/>
      <c r="K312" s="167"/>
      <c r="L312" s="168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09" t="e">
        <f>'TANK HARDWARE'!#REF!</f>
        <v>#REF!</v>
      </c>
      <c r="D313" s="162"/>
      <c r="E313" s="163"/>
      <c r="F313" s="208" t="e">
        <f>'TANK HARDWARE'!H409+P313</f>
        <v>#REF!</v>
      </c>
      <c r="G313" s="167"/>
      <c r="H313" s="167"/>
      <c r="I313" s="167"/>
      <c r="J313" s="167"/>
      <c r="K313" s="167"/>
      <c r="L313" s="168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09" t="e">
        <f>'TANK HARDWARE'!#REF!</f>
        <v>#REF!</v>
      </c>
      <c r="D314" s="162"/>
      <c r="E314" s="163"/>
      <c r="F314" s="208" t="e">
        <f>'TANK HARDWARE'!H410+P314</f>
        <v>#REF!</v>
      </c>
      <c r="G314" s="167"/>
      <c r="H314" s="167"/>
      <c r="I314" s="167"/>
      <c r="J314" s="167"/>
      <c r="K314" s="167"/>
      <c r="L314" s="168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09" t="e">
        <f>'TANK HARDWARE'!#REF!</f>
        <v>#REF!</v>
      </c>
      <c r="D315" s="162"/>
      <c r="E315" s="163"/>
      <c r="F315" s="208" t="e">
        <f>'TANK HARDWARE'!H411+P315</f>
        <v>#REF!</v>
      </c>
      <c r="G315" s="167"/>
      <c r="H315" s="167"/>
      <c r="I315" s="167"/>
      <c r="J315" s="167"/>
      <c r="K315" s="167"/>
      <c r="L315" s="168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09" t="e">
        <f>'TANK HARDWARE'!#REF!</f>
        <v>#REF!</v>
      </c>
      <c r="D316" s="162"/>
      <c r="E316" s="163"/>
      <c r="F316" s="208" t="e">
        <f>'TANK HARDWARE'!H412+P316</f>
        <v>#REF!</v>
      </c>
      <c r="G316" s="167"/>
      <c r="H316" s="167"/>
      <c r="I316" s="167"/>
      <c r="J316" s="167"/>
      <c r="K316" s="167"/>
      <c r="L316" s="168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09" t="e">
        <f>'TANK HARDWARE'!#REF!</f>
        <v>#REF!</v>
      </c>
      <c r="D317" s="162"/>
      <c r="E317" s="163"/>
      <c r="F317" s="208" t="e">
        <f>'TANK HARDWARE'!H413+P317</f>
        <v>#REF!</v>
      </c>
      <c r="G317" s="167"/>
      <c r="H317" s="167"/>
      <c r="I317" s="167"/>
      <c r="J317" s="167"/>
      <c r="K317" s="167"/>
      <c r="L317" s="168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09" t="e">
        <f>'TANK HARDWARE'!#REF!</f>
        <v>#REF!</v>
      </c>
      <c r="D318" s="162"/>
      <c r="E318" s="163"/>
      <c r="F318" s="208" t="e">
        <f>'TANK HARDWARE'!H414+P318</f>
        <v>#REF!</v>
      </c>
      <c r="G318" s="167"/>
      <c r="H318" s="167"/>
      <c r="I318" s="167"/>
      <c r="J318" s="167"/>
      <c r="K318" s="167"/>
      <c r="L318" s="168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09" t="e">
        <f>'TANK HARDWARE'!#REF!</f>
        <v>#REF!</v>
      </c>
      <c r="D319" s="162"/>
      <c r="E319" s="163"/>
      <c r="F319" s="208" t="e">
        <f>'TANK HARDWARE'!H415+P319</f>
        <v>#REF!</v>
      </c>
      <c r="G319" s="167"/>
      <c r="H319" s="167"/>
      <c r="I319" s="167"/>
      <c r="J319" s="167"/>
      <c r="K319" s="167"/>
      <c r="L319" s="168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09" t="e">
        <f>'TANK HARDWARE'!#REF!</f>
        <v>#REF!</v>
      </c>
      <c r="D320" s="162"/>
      <c r="E320" s="163"/>
      <c r="F320" s="208" t="e">
        <f>'TANK HARDWARE'!H416+P320</f>
        <v>#REF!</v>
      </c>
      <c r="G320" s="167"/>
      <c r="H320" s="167"/>
      <c r="I320" s="167"/>
      <c r="J320" s="167"/>
      <c r="K320" s="167"/>
      <c r="L320" s="168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09" t="e">
        <f>'TANK HARDWARE'!#REF!</f>
        <v>#REF!</v>
      </c>
      <c r="D321" s="162"/>
      <c r="E321" s="163"/>
      <c r="F321" s="208" t="e">
        <f>'TANK HARDWARE'!H417+P321</f>
        <v>#REF!</v>
      </c>
      <c r="G321" s="167"/>
      <c r="H321" s="167"/>
      <c r="I321" s="167"/>
      <c r="J321" s="167"/>
      <c r="K321" s="167"/>
      <c r="L321" s="168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09" t="e">
        <f>'TANK HARDWARE'!#REF!</f>
        <v>#REF!</v>
      </c>
      <c r="D322" s="162"/>
      <c r="E322" s="163"/>
      <c r="F322" s="208" t="e">
        <f>'TANK HARDWARE'!H418+P322</f>
        <v>#REF!</v>
      </c>
      <c r="G322" s="167"/>
      <c r="H322" s="167"/>
      <c r="I322" s="167"/>
      <c r="J322" s="167"/>
      <c r="K322" s="167"/>
      <c r="L322" s="168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09" t="e">
        <f>'TANK HARDWARE'!#REF!</f>
        <v>#REF!</v>
      </c>
      <c r="D323" s="162"/>
      <c r="E323" s="163"/>
      <c r="F323" s="208" t="e">
        <f>'TANK HARDWARE'!H419+P323</f>
        <v>#REF!</v>
      </c>
      <c r="G323" s="167"/>
      <c r="H323" s="167"/>
      <c r="I323" s="167"/>
      <c r="J323" s="167"/>
      <c r="K323" s="167"/>
      <c r="L323" s="168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09" t="e">
        <f>'TANK HARDWARE'!#REF!</f>
        <v>#REF!</v>
      </c>
      <c r="D324" s="162"/>
      <c r="E324" s="163"/>
      <c r="F324" s="208" t="e">
        <f>'TANK HARDWARE'!H420+P324</f>
        <v>#REF!</v>
      </c>
      <c r="G324" s="167"/>
      <c r="H324" s="167"/>
      <c r="I324" s="167"/>
      <c r="J324" s="167"/>
      <c r="K324" s="167"/>
      <c r="L324" s="168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09" t="e">
        <f>'TANK HARDWARE'!#REF!</f>
        <v>#REF!</v>
      </c>
      <c r="D325" s="162"/>
      <c r="E325" s="163"/>
      <c r="F325" s="208" t="e">
        <f>'TANK HARDWARE'!H421+P325</f>
        <v>#REF!</v>
      </c>
      <c r="G325" s="167"/>
      <c r="H325" s="167"/>
      <c r="I325" s="167"/>
      <c r="J325" s="167"/>
      <c r="K325" s="167"/>
      <c r="L325" s="168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09" t="e">
        <f>'TANK HARDWARE'!#REF!</f>
        <v>#REF!</v>
      </c>
      <c r="D326" s="162"/>
      <c r="E326" s="163"/>
      <c r="F326" s="208" t="e">
        <f>'TANK HARDWARE'!H422+P326</f>
        <v>#REF!</v>
      </c>
      <c r="G326" s="167"/>
      <c r="H326" s="167"/>
      <c r="I326" s="167"/>
      <c r="J326" s="167"/>
      <c r="K326" s="167"/>
      <c r="L326" s="168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09" t="e">
        <f>'TANK HARDWARE'!#REF!</f>
        <v>#REF!</v>
      </c>
      <c r="D327" s="162"/>
      <c r="E327" s="163"/>
      <c r="F327" s="208" t="e">
        <f>'TANK HARDWARE'!H423+P327</f>
        <v>#REF!</v>
      </c>
      <c r="G327" s="167"/>
      <c r="H327" s="167"/>
      <c r="I327" s="167"/>
      <c r="J327" s="167"/>
      <c r="K327" s="167"/>
      <c r="L327" s="168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09" t="e">
        <f>'TANK HARDWARE'!#REF!</f>
        <v>#REF!</v>
      </c>
      <c r="D328" s="162"/>
      <c r="E328" s="163"/>
      <c r="F328" s="208" t="e">
        <f>'TANK HARDWARE'!H424+P328</f>
        <v>#REF!</v>
      </c>
      <c r="G328" s="167"/>
      <c r="H328" s="167"/>
      <c r="I328" s="167"/>
      <c r="J328" s="167"/>
      <c r="K328" s="167"/>
      <c r="L328" s="168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09" t="e">
        <f>'TANK HARDWARE'!#REF!</f>
        <v>#REF!</v>
      </c>
      <c r="D329" s="162"/>
      <c r="E329" s="163"/>
      <c r="F329" s="208" t="e">
        <f>'TANK HARDWARE'!H425+P329</f>
        <v>#REF!</v>
      </c>
      <c r="G329" s="167"/>
      <c r="H329" s="167"/>
      <c r="I329" s="167"/>
      <c r="J329" s="167"/>
      <c r="K329" s="167"/>
      <c r="L329" s="168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09" t="e">
        <f>'TANK HARDWARE'!#REF!</f>
        <v>#REF!</v>
      </c>
      <c r="D330" s="162"/>
      <c r="E330" s="163"/>
      <c r="F330" s="208" t="e">
        <f>'TANK HARDWARE'!H426+P330</f>
        <v>#REF!</v>
      </c>
      <c r="G330" s="167"/>
      <c r="H330" s="167"/>
      <c r="I330" s="167"/>
      <c r="J330" s="167"/>
      <c r="K330" s="167"/>
      <c r="L330" s="168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09" t="e">
        <f>'TANK HARDWARE'!#REF!</f>
        <v>#REF!</v>
      </c>
      <c r="D331" s="162"/>
      <c r="E331" s="163"/>
      <c r="F331" s="208" t="e">
        <f>'TANK HARDWARE'!H427+P331</f>
        <v>#REF!</v>
      </c>
      <c r="G331" s="167"/>
      <c r="H331" s="167"/>
      <c r="I331" s="167"/>
      <c r="J331" s="167"/>
      <c r="K331" s="167"/>
      <c r="L331" s="168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09" t="e">
        <f>'TANK HARDWARE'!#REF!</f>
        <v>#REF!</v>
      </c>
      <c r="D332" s="162"/>
      <c r="E332" s="163"/>
      <c r="F332" s="208" t="e">
        <f>'TANK HARDWARE'!H428+P332</f>
        <v>#REF!</v>
      </c>
      <c r="G332" s="167"/>
      <c r="H332" s="167"/>
      <c r="I332" s="167"/>
      <c r="J332" s="167"/>
      <c r="K332" s="167"/>
      <c r="L332" s="168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09" t="e">
        <f>'TANK HARDWARE'!#REF!</f>
        <v>#REF!</v>
      </c>
      <c r="D333" s="162"/>
      <c r="E333" s="163"/>
      <c r="F333" s="208" t="e">
        <f>'TANK HARDWARE'!H429+P333</f>
        <v>#REF!</v>
      </c>
      <c r="G333" s="167"/>
      <c r="H333" s="167"/>
      <c r="I333" s="167"/>
      <c r="J333" s="167"/>
      <c r="K333" s="167"/>
      <c r="L333" s="168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09" t="e">
        <f>'TANK HARDWARE'!#REF!</f>
        <v>#REF!</v>
      </c>
      <c r="D334" s="162"/>
      <c r="E334" s="163"/>
      <c r="F334" s="208" t="e">
        <f>'TANK HARDWARE'!H430+P334</f>
        <v>#REF!</v>
      </c>
      <c r="G334" s="167"/>
      <c r="H334" s="167"/>
      <c r="I334" s="167"/>
      <c r="J334" s="167"/>
      <c r="K334" s="167"/>
      <c r="L334" s="168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09" t="e">
        <f>'TANK HARDWARE'!#REF!</f>
        <v>#REF!</v>
      </c>
      <c r="D335" s="162"/>
      <c r="E335" s="163"/>
      <c r="F335" s="208" t="e">
        <f>'TANK HARDWARE'!H431+P335</f>
        <v>#REF!</v>
      </c>
      <c r="G335" s="167"/>
      <c r="H335" s="167"/>
      <c r="I335" s="167"/>
      <c r="J335" s="167"/>
      <c r="K335" s="167"/>
      <c r="L335" s="168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09" t="e">
        <f>'TANK HARDWARE'!#REF!</f>
        <v>#REF!</v>
      </c>
      <c r="D336" s="162"/>
      <c r="E336" s="163"/>
      <c r="F336" s="208" t="e">
        <f>'TANK HARDWARE'!H432+P336</f>
        <v>#REF!</v>
      </c>
      <c r="G336" s="167"/>
      <c r="H336" s="167"/>
      <c r="I336" s="167"/>
      <c r="J336" s="167"/>
      <c r="K336" s="167"/>
      <c r="L336" s="168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16"/>
      <c r="D337" s="181"/>
      <c r="E337" s="181"/>
      <c r="F337" s="223"/>
      <c r="G337" s="181"/>
      <c r="H337" s="181"/>
      <c r="I337" s="181"/>
      <c r="J337" s="181"/>
      <c r="K337" s="181"/>
      <c r="L337" s="224"/>
      <c r="N337">
        <v>1</v>
      </c>
    </row>
    <row r="338" spans="2:14" ht="15.75" customHeight="1" thickBot="1" x14ac:dyDescent="0.3">
      <c r="B338">
        <f t="shared" si="27"/>
        <v>1</v>
      </c>
      <c r="C338" s="221"/>
      <c r="D338" s="222"/>
      <c r="E338" s="222"/>
      <c r="F338" s="241"/>
      <c r="G338" s="222"/>
      <c r="H338" s="222"/>
      <c r="I338" s="222"/>
      <c r="J338" s="222"/>
      <c r="K338" s="222"/>
      <c r="L338" s="242"/>
      <c r="N338">
        <v>1</v>
      </c>
    </row>
    <row r="339" spans="2:14" x14ac:dyDescent="0.25">
      <c r="C339" s="180"/>
      <c r="D339" s="181"/>
      <c r="E339" s="181"/>
      <c r="F339" s="198"/>
      <c r="G339" s="181"/>
      <c r="H339" s="181"/>
      <c r="I339" s="181"/>
      <c r="J339" s="181"/>
      <c r="K339" s="181"/>
      <c r="L339" s="181"/>
    </row>
    <row r="340" spans="2:14" ht="26.25" customHeight="1" x14ac:dyDescent="0.25">
      <c r="C340" s="243"/>
      <c r="D340" s="181"/>
      <c r="E340" s="181"/>
      <c r="F340" s="181"/>
      <c r="G340" s="181"/>
      <c r="H340" s="181"/>
      <c r="I340" s="181"/>
      <c r="J340" s="181"/>
      <c r="K340" s="181"/>
      <c r="L340" s="181"/>
    </row>
    <row r="342" spans="2:14" x14ac:dyDescent="0.25">
      <c r="C342" t="s">
        <v>778</v>
      </c>
      <c r="F342" t="s">
        <v>779</v>
      </c>
      <c r="J342" t="s">
        <v>780</v>
      </c>
    </row>
    <row r="343" spans="2:14" x14ac:dyDescent="0.25">
      <c r="C343" t="s">
        <v>781</v>
      </c>
      <c r="F343" t="s">
        <v>782</v>
      </c>
      <c r="J343" t="s">
        <v>783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83:E283"/>
    <mergeCell ref="C161:E161"/>
    <mergeCell ref="C217:E217"/>
    <mergeCell ref="F287:L287"/>
    <mergeCell ref="C325:E325"/>
    <mergeCell ref="C320:E320"/>
    <mergeCell ref="C316:E316"/>
    <mergeCell ref="C174:E174"/>
    <mergeCell ref="C189:E189"/>
    <mergeCell ref="F320:L320"/>
    <mergeCell ref="F209:L209"/>
    <mergeCell ref="F274:L274"/>
    <mergeCell ref="F211:L211"/>
    <mergeCell ref="C216:E216"/>
    <mergeCell ref="F322:L322"/>
    <mergeCell ref="C309:E309"/>
    <mergeCell ref="F285:L285"/>
    <mergeCell ref="C254:E254"/>
    <mergeCell ref="C256:E256"/>
    <mergeCell ref="F273:L273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41:L41"/>
    <mergeCell ref="F35:L35"/>
    <mergeCell ref="F302:L302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56:L56"/>
    <mergeCell ref="F249:L249"/>
    <mergeCell ref="F105:L10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241:E241"/>
    <mergeCell ref="F195:L195"/>
    <mergeCell ref="F216:L216"/>
    <mergeCell ref="C215:E215"/>
    <mergeCell ref="F232:L232"/>
    <mergeCell ref="C191:E191"/>
    <mergeCell ref="F229:L229"/>
    <mergeCell ref="F172:L172"/>
    <mergeCell ref="F221:L221"/>
    <mergeCell ref="F133:L133"/>
    <mergeCell ref="C125:E125"/>
    <mergeCell ref="F202:L202"/>
    <mergeCell ref="C157:E157"/>
    <mergeCell ref="C137:E137"/>
    <mergeCell ref="C134:E134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104:L104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C331:E331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C75:E75"/>
    <mergeCell ref="C82:E82"/>
    <mergeCell ref="C146:E146"/>
    <mergeCell ref="F58:L58"/>
    <mergeCell ref="F63:L63"/>
    <mergeCell ref="F124:L124"/>
    <mergeCell ref="F99:L99"/>
    <mergeCell ref="C57:E57"/>
    <mergeCell ref="C337:E337"/>
    <mergeCell ref="C312:E312"/>
    <mergeCell ref="F87:L87"/>
    <mergeCell ref="F280:L280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318:E318"/>
    <mergeCell ref="C223:E223"/>
    <mergeCell ref="F166:L166"/>
    <mergeCell ref="C300:E300"/>
    <mergeCell ref="F24:L24"/>
    <mergeCell ref="F295:L295"/>
    <mergeCell ref="F239:L239"/>
    <mergeCell ref="C198:E198"/>
    <mergeCell ref="F32:L32"/>
    <mergeCell ref="F237:L237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C183:E183"/>
    <mergeCell ref="F86:L86"/>
    <mergeCell ref="F142:L142"/>
    <mergeCell ref="F134:L134"/>
    <mergeCell ref="C252:E252"/>
    <mergeCell ref="C271:E271"/>
    <mergeCell ref="C265:E265"/>
    <mergeCell ref="C220:E220"/>
    <mergeCell ref="F279:L279"/>
    <mergeCell ref="C273:E273"/>
    <mergeCell ref="F260:L260"/>
    <mergeCell ref="C237:E237"/>
    <mergeCell ref="C240:E240"/>
    <mergeCell ref="F236:L236"/>
    <mergeCell ref="F143:L143"/>
    <mergeCell ref="C151:E151"/>
    <mergeCell ref="F258:L258"/>
    <mergeCell ref="C277:E277"/>
    <mergeCell ref="F245:L245"/>
    <mergeCell ref="C253:E253"/>
    <mergeCell ref="F26:L26"/>
    <mergeCell ref="C107:E107"/>
    <mergeCell ref="F268:L268"/>
    <mergeCell ref="I21:L21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53:E53"/>
    <mergeCell ref="C102:E102"/>
    <mergeCell ref="F118:L118"/>
    <mergeCell ref="C179:E179"/>
    <mergeCell ref="F27:L27"/>
    <mergeCell ref="C148:E148"/>
    <mergeCell ref="F123:L123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97:E97"/>
    <mergeCell ref="C290:E290"/>
    <mergeCell ref="F330:L330"/>
    <mergeCell ref="F324:L324"/>
    <mergeCell ref="C323:E323"/>
    <mergeCell ref="F283:L283"/>
    <mergeCell ref="C298:E298"/>
    <mergeCell ref="C154:E154"/>
    <mergeCell ref="F298:L298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F321:L321"/>
    <mergeCell ref="C311:E311"/>
    <mergeCell ref="F319:L319"/>
    <mergeCell ref="C284:E284"/>
    <mergeCell ref="F315:L315"/>
    <mergeCell ref="C293:E293"/>
    <mergeCell ref="F281:L281"/>
    <mergeCell ref="C228:E228"/>
    <mergeCell ref="F325:L325"/>
    <mergeCell ref="C156:E156"/>
    <mergeCell ref="F291:L291"/>
    <mergeCell ref="C250:E250"/>
    <mergeCell ref="F156:L156"/>
    <mergeCell ref="C164:E164"/>
    <mergeCell ref="C319:E319"/>
    <mergeCell ref="C175:E175"/>
    <mergeCell ref="F303:L303"/>
    <mergeCell ref="C308:E308"/>
    <mergeCell ref="F310:L310"/>
    <mergeCell ref="F292:L292"/>
    <mergeCell ref="F286:L286"/>
    <mergeCell ref="C294:E294"/>
    <mergeCell ref="C226:E226"/>
    <mergeCell ref="C287:E287"/>
    <mergeCell ref="F276:L276"/>
    <mergeCell ref="F264:L264"/>
    <mergeCell ref="C230:E230"/>
    <mergeCell ref="C276:E276"/>
    <mergeCell ref="C225:E225"/>
    <mergeCell ref="C218:E218"/>
    <mergeCell ref="C274:E274"/>
    <mergeCell ref="F222:L222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784</v>
      </c>
    </row>
    <row r="3" spans="2:17" x14ac:dyDescent="0.25">
      <c r="B3" t="s">
        <v>785</v>
      </c>
    </row>
    <row r="4" spans="2:17" ht="14.45" customHeight="1" thickBot="1" x14ac:dyDescent="0.3">
      <c r="B4" t="s">
        <v>786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787</v>
      </c>
      <c r="D5" s="10" t="s">
        <v>788</v>
      </c>
      <c r="E5" s="11" t="s">
        <v>789</v>
      </c>
      <c r="F5" s="11" t="s">
        <v>790</v>
      </c>
      <c r="G5" s="11" t="s">
        <v>791</v>
      </c>
      <c r="H5" s="11" t="s">
        <v>792</v>
      </c>
      <c r="I5" s="11" t="s">
        <v>793</v>
      </c>
      <c r="J5" s="12" t="s">
        <v>794</v>
      </c>
      <c r="K5" s="12" t="s">
        <v>795</v>
      </c>
      <c r="L5" s="12" t="s">
        <v>796</v>
      </c>
      <c r="M5" s="12" t="s">
        <v>797</v>
      </c>
      <c r="N5" s="13" t="s">
        <v>798</v>
      </c>
      <c r="O5" s="14" t="s">
        <v>799</v>
      </c>
      <c r="P5" s="48" t="s">
        <v>800</v>
      </c>
      <c r="Q5" s="48" t="s">
        <v>801</v>
      </c>
    </row>
    <row r="6" spans="2:17" x14ac:dyDescent="0.25">
      <c r="B6" t="s">
        <v>802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803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685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747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804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805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806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807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808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809</v>
      </c>
      <c r="D15" s="17" t="s">
        <v>810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811</v>
      </c>
      <c r="D16" s="17" t="s">
        <v>812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813</v>
      </c>
      <c r="D17" s="17" t="s">
        <v>814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721</v>
      </c>
      <c r="D18" s="18" t="s">
        <v>815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816</v>
      </c>
    </row>
    <row r="20" spans="2:17" x14ac:dyDescent="0.25">
      <c r="B20" t="s">
        <v>817</v>
      </c>
    </row>
    <row r="21" spans="2:17" x14ac:dyDescent="0.25">
      <c r="B21" t="s">
        <v>817</v>
      </c>
    </row>
    <row r="22" spans="2:17" x14ac:dyDescent="0.25">
      <c r="B22" t="s">
        <v>817</v>
      </c>
    </row>
    <row r="23" spans="2:17" x14ac:dyDescent="0.25">
      <c r="B23" t="s">
        <v>817</v>
      </c>
    </row>
    <row r="24" spans="2:17" x14ac:dyDescent="0.25">
      <c r="B24" t="s">
        <v>817</v>
      </c>
    </row>
    <row r="26" spans="2:17" x14ac:dyDescent="0.25">
      <c r="B26" s="6" t="s">
        <v>818</v>
      </c>
    </row>
    <row r="27" spans="2:17" x14ac:dyDescent="0.25">
      <c r="B27" t="s">
        <v>819</v>
      </c>
    </row>
    <row r="28" spans="2:17" x14ac:dyDescent="0.25">
      <c r="B28" t="s">
        <v>820</v>
      </c>
    </row>
    <row r="29" spans="2:17" x14ac:dyDescent="0.25">
      <c r="B29" t="s">
        <v>821</v>
      </c>
    </row>
    <row r="30" spans="2:17" x14ac:dyDescent="0.25">
      <c r="B30" t="s">
        <v>822</v>
      </c>
    </row>
    <row r="31" spans="2:17" x14ac:dyDescent="0.25">
      <c r="B31" t="s">
        <v>786</v>
      </c>
    </row>
    <row r="32" spans="2:17" x14ac:dyDescent="0.25">
      <c r="B32" t="s">
        <v>805</v>
      </c>
    </row>
    <row r="33" spans="2:2" x14ac:dyDescent="0.25">
      <c r="B33" t="s">
        <v>806</v>
      </c>
    </row>
    <row r="34" spans="2:2" x14ac:dyDescent="0.25">
      <c r="B34" t="s">
        <v>823</v>
      </c>
    </row>
    <row r="35" spans="2:2" x14ac:dyDescent="0.25">
      <c r="B35" t="s">
        <v>824</v>
      </c>
    </row>
    <row r="36" spans="2:2" x14ac:dyDescent="0.25">
      <c r="B36" t="s">
        <v>825</v>
      </c>
    </row>
    <row r="37" spans="2:2" x14ac:dyDescent="0.25">
      <c r="B37" t="s">
        <v>721</v>
      </c>
    </row>
    <row r="38" spans="2:2" x14ac:dyDescent="0.25">
      <c r="B38" t="s">
        <v>817</v>
      </c>
    </row>
    <row r="39" spans="2:2" x14ac:dyDescent="0.25">
      <c r="B39" t="s">
        <v>817</v>
      </c>
    </row>
    <row r="40" spans="2:2" x14ac:dyDescent="0.25">
      <c r="B40" t="s">
        <v>817</v>
      </c>
    </row>
    <row r="41" spans="2:2" x14ac:dyDescent="0.25">
      <c r="B41" t="s">
        <v>817</v>
      </c>
    </row>
    <row r="42" spans="2:2" x14ac:dyDescent="0.25">
      <c r="B42" t="s">
        <v>817</v>
      </c>
    </row>
    <row r="44" spans="2:2" x14ac:dyDescent="0.25">
      <c r="B44" s="6" t="s">
        <v>826</v>
      </c>
    </row>
    <row r="45" spans="2:2" x14ac:dyDescent="0.25">
      <c r="B45" t="s">
        <v>827</v>
      </c>
    </row>
    <row r="46" spans="2:2" x14ac:dyDescent="0.25">
      <c r="B46" t="s">
        <v>828</v>
      </c>
    </row>
    <row r="47" spans="2:2" x14ac:dyDescent="0.25">
      <c r="B47" t="s">
        <v>829</v>
      </c>
    </row>
    <row r="48" spans="2:2" x14ac:dyDescent="0.25">
      <c r="B48" t="s">
        <v>830</v>
      </c>
    </row>
    <row r="49" spans="2:2" x14ac:dyDescent="0.25">
      <c r="B49" t="s">
        <v>831</v>
      </c>
    </row>
    <row r="50" spans="2:2" x14ac:dyDescent="0.25">
      <c r="B50" t="s">
        <v>832</v>
      </c>
    </row>
    <row r="51" spans="2:2" x14ac:dyDescent="0.25">
      <c r="B51" t="s">
        <v>717</v>
      </c>
    </row>
    <row r="52" spans="2:2" x14ac:dyDescent="0.25">
      <c r="B52" t="s">
        <v>718</v>
      </c>
    </row>
    <row r="53" spans="2:2" x14ac:dyDescent="0.25">
      <c r="B53" t="s">
        <v>719</v>
      </c>
    </row>
    <row r="54" spans="2:2" x14ac:dyDescent="0.25">
      <c r="B54" t="s">
        <v>720</v>
      </c>
    </row>
    <row r="55" spans="2:2" x14ac:dyDescent="0.25">
      <c r="B55" t="s">
        <v>833</v>
      </c>
    </row>
    <row r="56" spans="2:2" x14ac:dyDescent="0.25">
      <c r="B56" t="s">
        <v>834</v>
      </c>
    </row>
    <row r="57" spans="2:2" x14ac:dyDescent="0.25">
      <c r="B57" t="s">
        <v>835</v>
      </c>
    </row>
    <row r="58" spans="2:2" x14ac:dyDescent="0.25">
      <c r="B58" t="s">
        <v>721</v>
      </c>
    </row>
    <row r="59" spans="2:2" x14ac:dyDescent="0.25">
      <c r="B59" t="s">
        <v>817</v>
      </c>
    </row>
    <row r="63" spans="2:2" x14ac:dyDescent="0.25">
      <c r="B63" s="6" t="s">
        <v>836</v>
      </c>
    </row>
    <row r="64" spans="2:2" x14ac:dyDescent="0.25">
      <c r="B64" t="s">
        <v>827</v>
      </c>
    </row>
    <row r="65" spans="2:2" x14ac:dyDescent="0.25">
      <c r="B65" t="s">
        <v>828</v>
      </c>
    </row>
    <row r="66" spans="2:2" x14ac:dyDescent="0.25">
      <c r="B66" t="s">
        <v>829</v>
      </c>
    </row>
    <row r="67" spans="2:2" x14ac:dyDescent="0.25">
      <c r="B67" t="s">
        <v>830</v>
      </c>
    </row>
    <row r="68" spans="2:2" x14ac:dyDescent="0.25">
      <c r="B68" t="s">
        <v>831</v>
      </c>
    </row>
    <row r="69" spans="2:2" x14ac:dyDescent="0.25">
      <c r="B69" t="s">
        <v>832</v>
      </c>
    </row>
    <row r="70" spans="2:2" x14ac:dyDescent="0.25">
      <c r="B70" t="s">
        <v>717</v>
      </c>
    </row>
    <row r="71" spans="2:2" x14ac:dyDescent="0.25">
      <c r="B71" t="s">
        <v>718</v>
      </c>
    </row>
    <row r="72" spans="2:2" x14ac:dyDescent="0.25">
      <c r="B72" t="s">
        <v>719</v>
      </c>
    </row>
    <row r="73" spans="2:2" x14ac:dyDescent="0.25">
      <c r="B73" t="s">
        <v>720</v>
      </c>
    </row>
    <row r="74" spans="2:2" x14ac:dyDescent="0.25">
      <c r="B74" t="s">
        <v>833</v>
      </c>
    </row>
    <row r="75" spans="2:2" x14ac:dyDescent="0.25">
      <c r="B75" t="s">
        <v>834</v>
      </c>
    </row>
    <row r="76" spans="2:2" x14ac:dyDescent="0.25">
      <c r="B76" t="s">
        <v>835</v>
      </c>
    </row>
    <row r="77" spans="2:2" x14ac:dyDescent="0.25">
      <c r="B77" t="s">
        <v>721</v>
      </c>
    </row>
    <row r="78" spans="2:2" x14ac:dyDescent="0.25">
      <c r="B78" t="s">
        <v>817</v>
      </c>
    </row>
    <row r="80" spans="2:2" x14ac:dyDescent="0.25">
      <c r="B80" s="6" t="s">
        <v>837</v>
      </c>
    </row>
    <row r="81" spans="2:2" x14ac:dyDescent="0.25">
      <c r="B81" t="s">
        <v>827</v>
      </c>
    </row>
    <row r="82" spans="2:2" x14ac:dyDescent="0.25">
      <c r="B82" t="s">
        <v>828</v>
      </c>
    </row>
    <row r="83" spans="2:2" x14ac:dyDescent="0.25">
      <c r="B83" t="s">
        <v>829</v>
      </c>
    </row>
    <row r="84" spans="2:2" x14ac:dyDescent="0.25">
      <c r="B84" t="s">
        <v>830</v>
      </c>
    </row>
    <row r="85" spans="2:2" x14ac:dyDescent="0.25">
      <c r="B85" t="s">
        <v>831</v>
      </c>
    </row>
    <row r="86" spans="2:2" x14ac:dyDescent="0.25">
      <c r="B86" t="s">
        <v>832</v>
      </c>
    </row>
    <row r="87" spans="2:2" x14ac:dyDescent="0.25">
      <c r="B87" t="s">
        <v>717</v>
      </c>
    </row>
    <row r="88" spans="2:2" x14ac:dyDescent="0.25">
      <c r="B88" t="s">
        <v>718</v>
      </c>
    </row>
    <row r="89" spans="2:2" x14ac:dyDescent="0.25">
      <c r="B89" t="s">
        <v>719</v>
      </c>
    </row>
    <row r="90" spans="2:2" x14ac:dyDescent="0.25">
      <c r="B90" t="s">
        <v>720</v>
      </c>
    </row>
    <row r="91" spans="2:2" x14ac:dyDescent="0.25">
      <c r="B91" t="s">
        <v>838</v>
      </c>
    </row>
    <row r="92" spans="2:2" x14ac:dyDescent="0.25">
      <c r="B92" t="s">
        <v>721</v>
      </c>
    </row>
    <row r="93" spans="2:2" x14ac:dyDescent="0.25">
      <c r="B93" t="s">
        <v>817</v>
      </c>
    </row>
    <row r="95" spans="2:2" x14ac:dyDescent="0.25">
      <c r="B95" s="6" t="s">
        <v>839</v>
      </c>
    </row>
    <row r="96" spans="2:2" x14ac:dyDescent="0.25">
      <c r="B96" t="s">
        <v>827</v>
      </c>
    </row>
    <row r="97" spans="2:2" x14ac:dyDescent="0.25">
      <c r="B97" t="s">
        <v>828</v>
      </c>
    </row>
    <row r="98" spans="2:2" x14ac:dyDescent="0.25">
      <c r="B98" t="s">
        <v>829</v>
      </c>
    </row>
    <row r="99" spans="2:2" x14ac:dyDescent="0.25">
      <c r="B99" t="s">
        <v>830</v>
      </c>
    </row>
    <row r="100" spans="2:2" x14ac:dyDescent="0.25">
      <c r="B100" t="s">
        <v>831</v>
      </c>
    </row>
    <row r="101" spans="2:2" x14ac:dyDescent="0.25">
      <c r="B101" t="s">
        <v>832</v>
      </c>
    </row>
    <row r="102" spans="2:2" x14ac:dyDescent="0.25">
      <c r="B102" t="s">
        <v>717</v>
      </c>
    </row>
    <row r="103" spans="2:2" x14ac:dyDescent="0.25">
      <c r="B103" t="s">
        <v>718</v>
      </c>
    </row>
    <row r="104" spans="2:2" x14ac:dyDescent="0.25">
      <c r="B104" t="s">
        <v>719</v>
      </c>
    </row>
    <row r="105" spans="2:2" x14ac:dyDescent="0.25">
      <c r="B105" t="s">
        <v>720</v>
      </c>
    </row>
    <row r="106" spans="2:2" x14ac:dyDescent="0.25">
      <c r="B106" t="s">
        <v>838</v>
      </c>
    </row>
    <row r="107" spans="2:2" x14ac:dyDescent="0.25">
      <c r="B107" t="s">
        <v>721</v>
      </c>
    </row>
    <row r="108" spans="2:2" x14ac:dyDescent="0.25">
      <c r="B108" t="s">
        <v>817</v>
      </c>
    </row>
    <row r="110" spans="2:2" x14ac:dyDescent="0.25">
      <c r="B110" s="6" t="s">
        <v>417</v>
      </c>
    </row>
    <row r="111" spans="2:2" x14ac:dyDescent="0.25">
      <c r="B111" t="s">
        <v>827</v>
      </c>
    </row>
    <row r="112" spans="2:2" x14ac:dyDescent="0.25">
      <c r="B112" t="s">
        <v>828</v>
      </c>
    </row>
    <row r="113" spans="2:2" x14ac:dyDescent="0.25">
      <c r="B113" t="s">
        <v>829</v>
      </c>
    </row>
    <row r="114" spans="2:2" x14ac:dyDescent="0.25">
      <c r="B114" t="s">
        <v>830</v>
      </c>
    </row>
    <row r="115" spans="2:2" x14ac:dyDescent="0.25">
      <c r="B115" t="s">
        <v>831</v>
      </c>
    </row>
    <row r="116" spans="2:2" x14ac:dyDescent="0.25">
      <c r="B116" t="s">
        <v>832</v>
      </c>
    </row>
    <row r="117" spans="2:2" x14ac:dyDescent="0.25">
      <c r="B117" t="s">
        <v>717</v>
      </c>
    </row>
    <row r="118" spans="2:2" x14ac:dyDescent="0.25">
      <c r="B118" t="s">
        <v>718</v>
      </c>
    </row>
    <row r="119" spans="2:2" x14ac:dyDescent="0.25">
      <c r="B119" t="s">
        <v>719</v>
      </c>
    </row>
    <row r="120" spans="2:2" x14ac:dyDescent="0.25">
      <c r="B120" t="s">
        <v>720</v>
      </c>
    </row>
    <row r="121" spans="2:2" x14ac:dyDescent="0.25">
      <c r="B121" t="s">
        <v>838</v>
      </c>
    </row>
    <row r="122" spans="2:2" x14ac:dyDescent="0.25">
      <c r="B122" t="s">
        <v>721</v>
      </c>
    </row>
    <row r="123" spans="2:2" x14ac:dyDescent="0.25">
      <c r="B123" t="s">
        <v>817</v>
      </c>
    </row>
    <row r="125" spans="2:2" x14ac:dyDescent="0.25">
      <c r="B125" s="6" t="s">
        <v>840</v>
      </c>
    </row>
    <row r="126" spans="2:2" x14ac:dyDescent="0.25">
      <c r="B126" t="s">
        <v>841</v>
      </c>
    </row>
    <row r="127" spans="2:2" x14ac:dyDescent="0.25">
      <c r="B127" t="s">
        <v>842</v>
      </c>
    </row>
    <row r="128" spans="2:2" x14ac:dyDescent="0.25">
      <c r="B128" t="s">
        <v>843</v>
      </c>
    </row>
    <row r="129" spans="2:2" x14ac:dyDescent="0.25">
      <c r="B129" t="s">
        <v>844</v>
      </c>
    </row>
    <row r="130" spans="2:2" x14ac:dyDescent="0.25">
      <c r="B130" t="s">
        <v>845</v>
      </c>
    </row>
    <row r="131" spans="2:2" x14ac:dyDescent="0.25">
      <c r="B131" t="s">
        <v>721</v>
      </c>
    </row>
    <row r="132" spans="2:2" x14ac:dyDescent="0.25">
      <c r="B132" t="s">
        <v>817</v>
      </c>
    </row>
    <row r="133" spans="2:2" x14ac:dyDescent="0.25">
      <c r="B133" t="s">
        <v>817</v>
      </c>
    </row>
    <row r="134" spans="2:2" x14ac:dyDescent="0.25">
      <c r="B134" t="s">
        <v>817</v>
      </c>
    </row>
    <row r="137" spans="2:2" x14ac:dyDescent="0.25">
      <c r="B137" s="6" t="s">
        <v>846</v>
      </c>
    </row>
    <row r="138" spans="2:2" x14ac:dyDescent="0.25">
      <c r="B138" t="s">
        <v>841</v>
      </c>
    </row>
    <row r="139" spans="2:2" x14ac:dyDescent="0.25">
      <c r="B139" t="s">
        <v>842</v>
      </c>
    </row>
    <row r="140" spans="2:2" x14ac:dyDescent="0.25">
      <c r="B140" t="s">
        <v>847</v>
      </c>
    </row>
    <row r="141" spans="2:2" x14ac:dyDescent="0.25">
      <c r="B141" t="s">
        <v>845</v>
      </c>
    </row>
    <row r="142" spans="2:2" x14ac:dyDescent="0.25">
      <c r="B142" t="s">
        <v>721</v>
      </c>
    </row>
    <row r="143" spans="2:2" x14ac:dyDescent="0.25">
      <c r="B143" t="s">
        <v>817</v>
      </c>
    </row>
    <row r="144" spans="2:2" x14ac:dyDescent="0.25">
      <c r="B144" t="s">
        <v>817</v>
      </c>
    </row>
    <row r="146" spans="2:2" x14ac:dyDescent="0.25">
      <c r="B146" s="6" t="s">
        <v>848</v>
      </c>
    </row>
    <row r="147" spans="2:2" x14ac:dyDescent="0.25">
      <c r="B147" t="s">
        <v>725</v>
      </c>
    </row>
    <row r="148" spans="2:2" x14ac:dyDescent="0.25">
      <c r="B148" t="s">
        <v>726</v>
      </c>
    </row>
    <row r="149" spans="2:2" x14ac:dyDescent="0.25">
      <c r="B149" t="s">
        <v>727</v>
      </c>
    </row>
    <row r="150" spans="2:2" x14ac:dyDescent="0.25">
      <c r="B150" t="s">
        <v>849</v>
      </c>
    </row>
    <row r="151" spans="2:2" x14ac:dyDescent="0.25">
      <c r="B151" t="s">
        <v>730</v>
      </c>
    </row>
    <row r="152" spans="2:2" x14ac:dyDescent="0.25">
      <c r="B152" t="s">
        <v>733</v>
      </c>
    </row>
    <row r="153" spans="2:2" x14ac:dyDescent="0.25">
      <c r="B153" t="s">
        <v>736</v>
      </c>
    </row>
    <row r="155" spans="2:2" x14ac:dyDescent="0.25">
      <c r="B155" t="s">
        <v>850</v>
      </c>
    </row>
    <row r="156" spans="2:2" x14ac:dyDescent="0.25">
      <c r="B156" t="s">
        <v>851</v>
      </c>
    </row>
    <row r="157" spans="2:2" x14ac:dyDescent="0.25">
      <c r="B157" t="s">
        <v>852</v>
      </c>
    </row>
    <row r="158" spans="2:2" x14ac:dyDescent="0.25">
      <c r="B158" t="s">
        <v>853</v>
      </c>
    </row>
    <row r="159" spans="2:2" x14ac:dyDescent="0.25">
      <c r="B159" t="s">
        <v>854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STD.DATA</vt:lpstr>
      <vt:lpstr>TANK HARDWARE</vt:lpstr>
      <vt:lpstr>PRINT SHEET</vt:lpstr>
      <vt:lpstr>FINAL SHEET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2026-08-21T08:49:49Z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